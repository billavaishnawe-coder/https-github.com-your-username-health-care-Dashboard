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timelines/timeline1.xml" ContentType="application/vnd.ms-excel.timelin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7.xml" ContentType="application/vnd.openxmlformats-officedocument.drawing+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vaishnawe\Downloads\"/>
    </mc:Choice>
  </mc:AlternateContent>
  <xr:revisionPtr revIDLastSave="0" documentId="8_{FD87121D-10D9-4D99-AE91-CB908F3FACF9}" xr6:coauthVersionLast="47" xr6:coauthVersionMax="47" xr10:uidLastSave="{00000000-0000-0000-0000-000000000000}"/>
  <bookViews>
    <workbookView xWindow="-110" yWindow="-110" windowWidth="19420" windowHeight="10300" activeTab="8" xr2:uid="{4CE7FCC2-04AF-4976-AA34-52243DABB084}"/>
  </bookViews>
  <sheets>
    <sheet name="1" sheetId="6" r:id="rId1"/>
    <sheet name="2" sheetId="7" r:id="rId2"/>
    <sheet name="3" sheetId="15" r:id="rId3"/>
    <sheet name="4" sheetId="9" r:id="rId4"/>
    <sheet name="5" sheetId="10" r:id="rId5"/>
    <sheet name="6" sheetId="11" r:id="rId6"/>
    <sheet name="HEALTH CARE DATA" sheetId="1" r:id="rId7"/>
    <sheet name="KPL'S" sheetId="2" r:id="rId8"/>
    <sheet name="dashboard" sheetId="18" r:id="rId9"/>
  </sheets>
  <definedNames>
    <definedName name="NativeTimeline_Admission_Date">#N/A</definedName>
    <definedName name="NativeTimeline_Discharge_Date">#N/A</definedName>
    <definedName name="Slicer_Department">#N/A</definedName>
    <definedName name="Slicer_Doctor">#N/A</definedName>
    <definedName name="Slicer_Gender">#N/A</definedName>
    <definedName name="Slicer_Outcome">#N/A</definedName>
    <definedName name="Slicer_Payment_Typ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 r:id="rId17"/>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9" i="2" l="1"/>
  <c r="G14" i="2"/>
  <c r="G13" i="2"/>
  <c r="G12" i="2"/>
  <c r="G10" i="2"/>
  <c r="G9" i="2"/>
  <c r="G8" i="2"/>
  <c r="G7" i="2"/>
  <c r="G6" i="2"/>
  <c r="G5"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G11" i="2" l="1"/>
</calcChain>
</file>

<file path=xl/sharedStrings.xml><?xml version="1.0" encoding="utf-8"?>
<sst xmlns="http://schemas.openxmlformats.org/spreadsheetml/2006/main" count="3571" uniqueCount="555">
  <si>
    <t>Patient_ID</t>
  </si>
  <si>
    <t>Age</t>
  </si>
  <si>
    <t>Gender</t>
  </si>
  <si>
    <t>Admission_Date</t>
  </si>
  <si>
    <t>Discharge_Date</t>
  </si>
  <si>
    <t>Department</t>
  </si>
  <si>
    <t>Diagnosis</t>
  </si>
  <si>
    <t>Doctor</t>
  </si>
  <si>
    <t>Treatment_Cost</t>
  </si>
  <si>
    <t>Payment_Type</t>
  </si>
  <si>
    <t>Outcome</t>
  </si>
  <si>
    <t>P0001</t>
  </si>
  <si>
    <t>Male</t>
  </si>
  <si>
    <t>Cardiology</t>
  </si>
  <si>
    <t>Fracture</t>
  </si>
  <si>
    <t>Dr. Rao</t>
  </si>
  <si>
    <t>Insurance</t>
  </si>
  <si>
    <t>Recovered</t>
  </si>
  <si>
    <t>P0002</t>
  </si>
  <si>
    <t>Orthopedics</t>
  </si>
  <si>
    <t>Heart Disease</t>
  </si>
  <si>
    <t>Dr. Sharma</t>
  </si>
  <si>
    <t>Critical</t>
  </si>
  <si>
    <t>P0003</t>
  </si>
  <si>
    <t>Female</t>
  </si>
  <si>
    <t>General</t>
  </si>
  <si>
    <t>Migraine</t>
  </si>
  <si>
    <t>Dr. Reddy</t>
  </si>
  <si>
    <t>Self</t>
  </si>
  <si>
    <t>Under Treatment</t>
  </si>
  <si>
    <t>P0004</t>
  </si>
  <si>
    <t>Dr. Patel</t>
  </si>
  <si>
    <t>P0005</t>
  </si>
  <si>
    <t>Diabetes</t>
  </si>
  <si>
    <t>Dr. Kumar</t>
  </si>
  <si>
    <t>P0006</t>
  </si>
  <si>
    <t>Neurology</t>
  </si>
  <si>
    <t>P0007</t>
  </si>
  <si>
    <t>P0008</t>
  </si>
  <si>
    <t>P0009</t>
  </si>
  <si>
    <t>Fever</t>
  </si>
  <si>
    <t>P0010</t>
  </si>
  <si>
    <t>P0011</t>
  </si>
  <si>
    <t>P0012</t>
  </si>
  <si>
    <t>P0013</t>
  </si>
  <si>
    <t>P0014</t>
  </si>
  <si>
    <t>P0015</t>
  </si>
  <si>
    <t>P0016</t>
  </si>
  <si>
    <t>Pediatrics</t>
  </si>
  <si>
    <t>P0017</t>
  </si>
  <si>
    <t>P0018</t>
  </si>
  <si>
    <t>P0019</t>
  </si>
  <si>
    <t>P0020</t>
  </si>
  <si>
    <t>P0021</t>
  </si>
  <si>
    <t>P0022</t>
  </si>
  <si>
    <t>P0023</t>
  </si>
  <si>
    <t>P0024</t>
  </si>
  <si>
    <t>P0025</t>
  </si>
  <si>
    <t>P0026</t>
  </si>
  <si>
    <t>P0027</t>
  </si>
  <si>
    <t>P0028</t>
  </si>
  <si>
    <t>P0029</t>
  </si>
  <si>
    <t>P0030</t>
  </si>
  <si>
    <t>P0031</t>
  </si>
  <si>
    <t>P0032</t>
  </si>
  <si>
    <t>P0033</t>
  </si>
  <si>
    <t>P0034</t>
  </si>
  <si>
    <t>P0035</t>
  </si>
  <si>
    <t>P0036</t>
  </si>
  <si>
    <t>P0037</t>
  </si>
  <si>
    <t>P0038</t>
  </si>
  <si>
    <t>P0039</t>
  </si>
  <si>
    <t>P0040</t>
  </si>
  <si>
    <t>P0041</t>
  </si>
  <si>
    <t>P0042</t>
  </si>
  <si>
    <t>P0043</t>
  </si>
  <si>
    <t>P0044</t>
  </si>
  <si>
    <t>P0045</t>
  </si>
  <si>
    <t>P0046</t>
  </si>
  <si>
    <t>P0047</t>
  </si>
  <si>
    <t>P0048</t>
  </si>
  <si>
    <t>P0049</t>
  </si>
  <si>
    <t>P0050</t>
  </si>
  <si>
    <t>P0051</t>
  </si>
  <si>
    <t>P0052</t>
  </si>
  <si>
    <t>P0053</t>
  </si>
  <si>
    <t>P0054</t>
  </si>
  <si>
    <t>P0055</t>
  </si>
  <si>
    <t>P0056</t>
  </si>
  <si>
    <t>P0057</t>
  </si>
  <si>
    <t>P0058</t>
  </si>
  <si>
    <t>P0059</t>
  </si>
  <si>
    <t>P0060</t>
  </si>
  <si>
    <t>P0061</t>
  </si>
  <si>
    <t>P0062</t>
  </si>
  <si>
    <t>P0063</t>
  </si>
  <si>
    <t>P0064</t>
  </si>
  <si>
    <t>P0065</t>
  </si>
  <si>
    <t>P0066</t>
  </si>
  <si>
    <t>P0067</t>
  </si>
  <si>
    <t>P0068</t>
  </si>
  <si>
    <t>P0069</t>
  </si>
  <si>
    <t>P0070</t>
  </si>
  <si>
    <t>P0071</t>
  </si>
  <si>
    <t>P0072</t>
  </si>
  <si>
    <t>P0073</t>
  </si>
  <si>
    <t>P0074</t>
  </si>
  <si>
    <t>P0075</t>
  </si>
  <si>
    <t>P0076</t>
  </si>
  <si>
    <t>P0077</t>
  </si>
  <si>
    <t>P0078</t>
  </si>
  <si>
    <t>P0079</t>
  </si>
  <si>
    <t>P0080</t>
  </si>
  <si>
    <t>P0081</t>
  </si>
  <si>
    <t>P0082</t>
  </si>
  <si>
    <t>P0083</t>
  </si>
  <si>
    <t>P0084</t>
  </si>
  <si>
    <t>P0085</t>
  </si>
  <si>
    <t>P0086</t>
  </si>
  <si>
    <t>P0087</t>
  </si>
  <si>
    <t>P0088</t>
  </si>
  <si>
    <t>P0089</t>
  </si>
  <si>
    <t>P0090</t>
  </si>
  <si>
    <t>P0091</t>
  </si>
  <si>
    <t>P0092</t>
  </si>
  <si>
    <t>P0093</t>
  </si>
  <si>
    <t>P0094</t>
  </si>
  <si>
    <t>P0095</t>
  </si>
  <si>
    <t>P0096</t>
  </si>
  <si>
    <t>P0097</t>
  </si>
  <si>
    <t>P0098</t>
  </si>
  <si>
    <t>P0099</t>
  </si>
  <si>
    <t>P0100</t>
  </si>
  <si>
    <t>P0101</t>
  </si>
  <si>
    <t>P0102</t>
  </si>
  <si>
    <t>P0103</t>
  </si>
  <si>
    <t>P0104</t>
  </si>
  <si>
    <t>P0105</t>
  </si>
  <si>
    <t>P0106</t>
  </si>
  <si>
    <t>P0107</t>
  </si>
  <si>
    <t>P0108</t>
  </si>
  <si>
    <t>P0109</t>
  </si>
  <si>
    <t>P0110</t>
  </si>
  <si>
    <t>P0111</t>
  </si>
  <si>
    <t>P0112</t>
  </si>
  <si>
    <t>P0113</t>
  </si>
  <si>
    <t>P0114</t>
  </si>
  <si>
    <t>P0115</t>
  </si>
  <si>
    <t>P0116</t>
  </si>
  <si>
    <t>P0117</t>
  </si>
  <si>
    <t>P0118</t>
  </si>
  <si>
    <t>P0119</t>
  </si>
  <si>
    <t>P0120</t>
  </si>
  <si>
    <t>P0121</t>
  </si>
  <si>
    <t>P0122</t>
  </si>
  <si>
    <t>P0123</t>
  </si>
  <si>
    <t>P0124</t>
  </si>
  <si>
    <t>P0125</t>
  </si>
  <si>
    <t>P0126</t>
  </si>
  <si>
    <t>P0127</t>
  </si>
  <si>
    <t>P0128</t>
  </si>
  <si>
    <t>P0129</t>
  </si>
  <si>
    <t>P0130</t>
  </si>
  <si>
    <t>P0131</t>
  </si>
  <si>
    <t>P0132</t>
  </si>
  <si>
    <t>P0133</t>
  </si>
  <si>
    <t>P0134</t>
  </si>
  <si>
    <t>P0135</t>
  </si>
  <si>
    <t>P0136</t>
  </si>
  <si>
    <t>P0137</t>
  </si>
  <si>
    <t>P0138</t>
  </si>
  <si>
    <t>P0139</t>
  </si>
  <si>
    <t>P0140</t>
  </si>
  <si>
    <t>P0141</t>
  </si>
  <si>
    <t>P0142</t>
  </si>
  <si>
    <t>P0143</t>
  </si>
  <si>
    <t>P0144</t>
  </si>
  <si>
    <t>P0145</t>
  </si>
  <si>
    <t>P0146</t>
  </si>
  <si>
    <t>P0147</t>
  </si>
  <si>
    <t>P0148</t>
  </si>
  <si>
    <t>P0149</t>
  </si>
  <si>
    <t>P0150</t>
  </si>
  <si>
    <t>P0151</t>
  </si>
  <si>
    <t>P0152</t>
  </si>
  <si>
    <t>P0153</t>
  </si>
  <si>
    <t>P0154</t>
  </si>
  <si>
    <t>P0155</t>
  </si>
  <si>
    <t>P0156</t>
  </si>
  <si>
    <t>P0157</t>
  </si>
  <si>
    <t>P0158</t>
  </si>
  <si>
    <t>P0159</t>
  </si>
  <si>
    <t>P0160</t>
  </si>
  <si>
    <t>P0161</t>
  </si>
  <si>
    <t>P0162</t>
  </si>
  <si>
    <t>P0163</t>
  </si>
  <si>
    <t>P0164</t>
  </si>
  <si>
    <t>P0165</t>
  </si>
  <si>
    <t>P0166</t>
  </si>
  <si>
    <t>P0167</t>
  </si>
  <si>
    <t>P0168</t>
  </si>
  <si>
    <t>P0169</t>
  </si>
  <si>
    <t>P0170</t>
  </si>
  <si>
    <t>P0171</t>
  </si>
  <si>
    <t>P0172</t>
  </si>
  <si>
    <t>P0173</t>
  </si>
  <si>
    <t>P0174</t>
  </si>
  <si>
    <t>P0175</t>
  </si>
  <si>
    <t>P0176</t>
  </si>
  <si>
    <t>P0177</t>
  </si>
  <si>
    <t>P0178</t>
  </si>
  <si>
    <t>P0179</t>
  </si>
  <si>
    <t>P0180</t>
  </si>
  <si>
    <t>P0181</t>
  </si>
  <si>
    <t>P0182</t>
  </si>
  <si>
    <t>P0183</t>
  </si>
  <si>
    <t>P0184</t>
  </si>
  <si>
    <t>P0185</t>
  </si>
  <si>
    <t>P0186</t>
  </si>
  <si>
    <t>P0187</t>
  </si>
  <si>
    <t>P0188</t>
  </si>
  <si>
    <t>P0189</t>
  </si>
  <si>
    <t>P0190</t>
  </si>
  <si>
    <t>P0191</t>
  </si>
  <si>
    <t>P0192</t>
  </si>
  <si>
    <t>P0193</t>
  </si>
  <si>
    <t>P0194</t>
  </si>
  <si>
    <t>P0195</t>
  </si>
  <si>
    <t>P0196</t>
  </si>
  <si>
    <t>P0197</t>
  </si>
  <si>
    <t>P0198</t>
  </si>
  <si>
    <t>P0199</t>
  </si>
  <si>
    <t>P0200</t>
  </si>
  <si>
    <t>P0201</t>
  </si>
  <si>
    <t>P0202</t>
  </si>
  <si>
    <t>P0203</t>
  </si>
  <si>
    <t>P0204</t>
  </si>
  <si>
    <t>P0205</t>
  </si>
  <si>
    <t>P0206</t>
  </si>
  <si>
    <t>P0207</t>
  </si>
  <si>
    <t>P0208</t>
  </si>
  <si>
    <t>P0209</t>
  </si>
  <si>
    <t>P0210</t>
  </si>
  <si>
    <t>P0211</t>
  </si>
  <si>
    <t>P0212</t>
  </si>
  <si>
    <t>P0213</t>
  </si>
  <si>
    <t>P0214</t>
  </si>
  <si>
    <t>P0215</t>
  </si>
  <si>
    <t>P0216</t>
  </si>
  <si>
    <t>P0217</t>
  </si>
  <si>
    <t>P0218</t>
  </si>
  <si>
    <t>P0219</t>
  </si>
  <si>
    <t>P0220</t>
  </si>
  <si>
    <t>P0221</t>
  </si>
  <si>
    <t>P0222</t>
  </si>
  <si>
    <t>P0223</t>
  </si>
  <si>
    <t>P0224</t>
  </si>
  <si>
    <t>P0225</t>
  </si>
  <si>
    <t>P0226</t>
  </si>
  <si>
    <t>P0227</t>
  </si>
  <si>
    <t>P0228</t>
  </si>
  <si>
    <t>P0229</t>
  </si>
  <si>
    <t>P0230</t>
  </si>
  <si>
    <t>P0231</t>
  </si>
  <si>
    <t>P0232</t>
  </si>
  <si>
    <t>P0233</t>
  </si>
  <si>
    <t>P0234</t>
  </si>
  <si>
    <t>P0235</t>
  </si>
  <si>
    <t>P0236</t>
  </si>
  <si>
    <t>P0237</t>
  </si>
  <si>
    <t>P0238</t>
  </si>
  <si>
    <t>P0239</t>
  </si>
  <si>
    <t>P0240</t>
  </si>
  <si>
    <t>P0241</t>
  </si>
  <si>
    <t>P0242</t>
  </si>
  <si>
    <t>P0243</t>
  </si>
  <si>
    <t>P0244</t>
  </si>
  <si>
    <t>P0245</t>
  </si>
  <si>
    <t>P0246</t>
  </si>
  <si>
    <t>P0247</t>
  </si>
  <si>
    <t>P0248</t>
  </si>
  <si>
    <t>P0249</t>
  </si>
  <si>
    <t>P0250</t>
  </si>
  <si>
    <t>P0251</t>
  </si>
  <si>
    <t>P0252</t>
  </si>
  <si>
    <t>P0253</t>
  </si>
  <si>
    <t>P0254</t>
  </si>
  <si>
    <t>P0255</t>
  </si>
  <si>
    <t>P0256</t>
  </si>
  <si>
    <t>P0257</t>
  </si>
  <si>
    <t>P0258</t>
  </si>
  <si>
    <t>P0259</t>
  </si>
  <si>
    <t>P0260</t>
  </si>
  <si>
    <t>P0261</t>
  </si>
  <si>
    <t>P0262</t>
  </si>
  <si>
    <t>P0263</t>
  </si>
  <si>
    <t>P0264</t>
  </si>
  <si>
    <t>P0265</t>
  </si>
  <si>
    <t>P0266</t>
  </si>
  <si>
    <t>P0267</t>
  </si>
  <si>
    <t>P0268</t>
  </si>
  <si>
    <t>P0269</t>
  </si>
  <si>
    <t>P0270</t>
  </si>
  <si>
    <t>P0271</t>
  </si>
  <si>
    <t>P0272</t>
  </si>
  <si>
    <t>P0273</t>
  </si>
  <si>
    <t>P0274</t>
  </si>
  <si>
    <t>P0275</t>
  </si>
  <si>
    <t>P0276</t>
  </si>
  <si>
    <t>P0277</t>
  </si>
  <si>
    <t>P0278</t>
  </si>
  <si>
    <t>P0279</t>
  </si>
  <si>
    <t>P0280</t>
  </si>
  <si>
    <t>P0281</t>
  </si>
  <si>
    <t>P0282</t>
  </si>
  <si>
    <t>P0283</t>
  </si>
  <si>
    <t>P0284</t>
  </si>
  <si>
    <t>P0285</t>
  </si>
  <si>
    <t>P0286</t>
  </si>
  <si>
    <t>P0287</t>
  </si>
  <si>
    <t>P0288</t>
  </si>
  <si>
    <t>P0289</t>
  </si>
  <si>
    <t>P0290</t>
  </si>
  <si>
    <t>P0291</t>
  </si>
  <si>
    <t>P0292</t>
  </si>
  <si>
    <t>P0293</t>
  </si>
  <si>
    <t>P0294</t>
  </si>
  <si>
    <t>P0295</t>
  </si>
  <si>
    <t>P0296</t>
  </si>
  <si>
    <t>P0297</t>
  </si>
  <si>
    <t>P0298</t>
  </si>
  <si>
    <t>P0299</t>
  </si>
  <si>
    <t>P0300</t>
  </si>
  <si>
    <t>P0301</t>
  </si>
  <si>
    <t>P0302</t>
  </si>
  <si>
    <t>P0303</t>
  </si>
  <si>
    <t>P0304</t>
  </si>
  <si>
    <t>P0305</t>
  </si>
  <si>
    <t>P0306</t>
  </si>
  <si>
    <t>P0307</t>
  </si>
  <si>
    <t>P0308</t>
  </si>
  <si>
    <t>P0309</t>
  </si>
  <si>
    <t>P0310</t>
  </si>
  <si>
    <t>P0311</t>
  </si>
  <si>
    <t>P0312</t>
  </si>
  <si>
    <t>P0313</t>
  </si>
  <si>
    <t>P0314</t>
  </si>
  <si>
    <t>P0315</t>
  </si>
  <si>
    <t>P0316</t>
  </si>
  <si>
    <t>P0317</t>
  </si>
  <si>
    <t>P0318</t>
  </si>
  <si>
    <t>P0319</t>
  </si>
  <si>
    <t>P0320</t>
  </si>
  <si>
    <t>P0321</t>
  </si>
  <si>
    <t>P0322</t>
  </si>
  <si>
    <t>P0323</t>
  </si>
  <si>
    <t>P0324</t>
  </si>
  <si>
    <t>P0325</t>
  </si>
  <si>
    <t>P0326</t>
  </si>
  <si>
    <t>P0327</t>
  </si>
  <si>
    <t>P0328</t>
  </si>
  <si>
    <t>P0329</t>
  </si>
  <si>
    <t>P0330</t>
  </si>
  <si>
    <t>P0331</t>
  </si>
  <si>
    <t>P0332</t>
  </si>
  <si>
    <t>P0333</t>
  </si>
  <si>
    <t>P0334</t>
  </si>
  <si>
    <t>P0335</t>
  </si>
  <si>
    <t>P0336</t>
  </si>
  <si>
    <t>P0337</t>
  </si>
  <si>
    <t>P0338</t>
  </si>
  <si>
    <t>P0339</t>
  </si>
  <si>
    <t>P0340</t>
  </si>
  <si>
    <t>P0341</t>
  </si>
  <si>
    <t>P0342</t>
  </si>
  <si>
    <t>P0343</t>
  </si>
  <si>
    <t>P0344</t>
  </si>
  <si>
    <t>P0345</t>
  </si>
  <si>
    <t>P0346</t>
  </si>
  <si>
    <t>P0347</t>
  </si>
  <si>
    <t>P0348</t>
  </si>
  <si>
    <t>P0349</t>
  </si>
  <si>
    <t>P0350</t>
  </si>
  <si>
    <t>P0351</t>
  </si>
  <si>
    <t>P0352</t>
  </si>
  <si>
    <t>P0353</t>
  </si>
  <si>
    <t>P0354</t>
  </si>
  <si>
    <t>P0355</t>
  </si>
  <si>
    <t>P0356</t>
  </si>
  <si>
    <t>P0357</t>
  </si>
  <si>
    <t>P0358</t>
  </si>
  <si>
    <t>P0359</t>
  </si>
  <si>
    <t>P0360</t>
  </si>
  <si>
    <t>P0361</t>
  </si>
  <si>
    <t>P0362</t>
  </si>
  <si>
    <t>P0363</t>
  </si>
  <si>
    <t>P0364</t>
  </si>
  <si>
    <t>P0365</t>
  </si>
  <si>
    <t>P0366</t>
  </si>
  <si>
    <t>P0367</t>
  </si>
  <si>
    <t>P0368</t>
  </si>
  <si>
    <t>P0369</t>
  </si>
  <si>
    <t>P0370</t>
  </si>
  <si>
    <t>P0371</t>
  </si>
  <si>
    <t>P0372</t>
  </si>
  <si>
    <t>P0373</t>
  </si>
  <si>
    <t>P0374</t>
  </si>
  <si>
    <t>P0375</t>
  </si>
  <si>
    <t>P0376</t>
  </si>
  <si>
    <t>P0377</t>
  </si>
  <si>
    <t>P0378</t>
  </si>
  <si>
    <t>P0379</t>
  </si>
  <si>
    <t>P0380</t>
  </si>
  <si>
    <t>P0381</t>
  </si>
  <si>
    <t>P0382</t>
  </si>
  <si>
    <t>P0383</t>
  </si>
  <si>
    <t>P0384</t>
  </si>
  <si>
    <t>P0385</t>
  </si>
  <si>
    <t>P0386</t>
  </si>
  <si>
    <t>P0387</t>
  </si>
  <si>
    <t>P0388</t>
  </si>
  <si>
    <t>P0389</t>
  </si>
  <si>
    <t>P0390</t>
  </si>
  <si>
    <t>P0391</t>
  </si>
  <si>
    <t>P0392</t>
  </si>
  <si>
    <t>P0393</t>
  </si>
  <si>
    <t>P0394</t>
  </si>
  <si>
    <t>P0395</t>
  </si>
  <si>
    <t>P0396</t>
  </si>
  <si>
    <t>P0397</t>
  </si>
  <si>
    <t>P0398</t>
  </si>
  <si>
    <t>P0399</t>
  </si>
  <si>
    <t>P0400</t>
  </si>
  <si>
    <t>P0401</t>
  </si>
  <si>
    <t>P0402</t>
  </si>
  <si>
    <t>P0403</t>
  </si>
  <si>
    <t>P0404</t>
  </si>
  <si>
    <t>P0405</t>
  </si>
  <si>
    <t>P0406</t>
  </si>
  <si>
    <t>P0407</t>
  </si>
  <si>
    <t>P0408</t>
  </si>
  <si>
    <t>P0409</t>
  </si>
  <si>
    <t>P0410</t>
  </si>
  <si>
    <t>P0411</t>
  </si>
  <si>
    <t>P0412</t>
  </si>
  <si>
    <t>P0413</t>
  </si>
  <si>
    <t>P0414</t>
  </si>
  <si>
    <t>P0415</t>
  </si>
  <si>
    <t>P0416</t>
  </si>
  <si>
    <t>P0417</t>
  </si>
  <si>
    <t>P0418</t>
  </si>
  <si>
    <t>P0419</t>
  </si>
  <si>
    <t>P0420</t>
  </si>
  <si>
    <t>P0421</t>
  </si>
  <si>
    <t>P0422</t>
  </si>
  <si>
    <t>P0423</t>
  </si>
  <si>
    <t>P0424</t>
  </si>
  <si>
    <t>P0425</t>
  </si>
  <si>
    <t>P0426</t>
  </si>
  <si>
    <t>P0427</t>
  </si>
  <si>
    <t>P0428</t>
  </si>
  <si>
    <t>P0429</t>
  </si>
  <si>
    <t>P0430</t>
  </si>
  <si>
    <t>P0431</t>
  </si>
  <si>
    <t>P0432</t>
  </si>
  <si>
    <t>P0433</t>
  </si>
  <si>
    <t>P0434</t>
  </si>
  <si>
    <t>P0435</t>
  </si>
  <si>
    <t>P0436</t>
  </si>
  <si>
    <t>P0437</t>
  </si>
  <si>
    <t>P0438</t>
  </si>
  <si>
    <t>P0439</t>
  </si>
  <si>
    <t>P0440</t>
  </si>
  <si>
    <t>P0441</t>
  </si>
  <si>
    <t>P0442</t>
  </si>
  <si>
    <t>P0443</t>
  </si>
  <si>
    <t>P0444</t>
  </si>
  <si>
    <t>P0445</t>
  </si>
  <si>
    <t>P0446</t>
  </si>
  <si>
    <t>P0447</t>
  </si>
  <si>
    <t>P0448</t>
  </si>
  <si>
    <t>P0449</t>
  </si>
  <si>
    <t>P0450</t>
  </si>
  <si>
    <t>P0451</t>
  </si>
  <si>
    <t>P0452</t>
  </si>
  <si>
    <t>P0453</t>
  </si>
  <si>
    <t>P0454</t>
  </si>
  <si>
    <t>P0455</t>
  </si>
  <si>
    <t>P0456</t>
  </si>
  <si>
    <t>P0457</t>
  </si>
  <si>
    <t>P0458</t>
  </si>
  <si>
    <t>P0459</t>
  </si>
  <si>
    <t>P0460</t>
  </si>
  <si>
    <t>P0461</t>
  </si>
  <si>
    <t>P0462</t>
  </si>
  <si>
    <t>P0463</t>
  </si>
  <si>
    <t>P0464</t>
  </si>
  <si>
    <t>P0465</t>
  </si>
  <si>
    <t>P0466</t>
  </si>
  <si>
    <t>P0467</t>
  </si>
  <si>
    <t>P0468</t>
  </si>
  <si>
    <t>P0469</t>
  </si>
  <si>
    <t>P0470</t>
  </si>
  <si>
    <t>P0471</t>
  </si>
  <si>
    <t>P0472</t>
  </si>
  <si>
    <t>P0473</t>
  </si>
  <si>
    <t>P0474</t>
  </si>
  <si>
    <t>P0475</t>
  </si>
  <si>
    <t>P0476</t>
  </si>
  <si>
    <t>P0477</t>
  </si>
  <si>
    <t>P0478</t>
  </si>
  <si>
    <t>P0479</t>
  </si>
  <si>
    <t>P0480</t>
  </si>
  <si>
    <t>P0481</t>
  </si>
  <si>
    <t>P0482</t>
  </si>
  <si>
    <t>P0483</t>
  </si>
  <si>
    <t>P0484</t>
  </si>
  <si>
    <t>P0485</t>
  </si>
  <si>
    <t>P0486</t>
  </si>
  <si>
    <t>P0487</t>
  </si>
  <si>
    <t>P0488</t>
  </si>
  <si>
    <t>P0489</t>
  </si>
  <si>
    <t>P0490</t>
  </si>
  <si>
    <t>P0491</t>
  </si>
  <si>
    <t>P0492</t>
  </si>
  <si>
    <t>P0493</t>
  </si>
  <si>
    <t>P0494</t>
  </si>
  <si>
    <t>P0495</t>
  </si>
  <si>
    <t>P0496</t>
  </si>
  <si>
    <t>P0497</t>
  </si>
  <si>
    <t>P0498</t>
  </si>
  <si>
    <t>P0499</t>
  </si>
  <si>
    <t>P0500</t>
  </si>
  <si>
    <t>LENGTH STAY</t>
  </si>
  <si>
    <t>REVENUE CATEGORY</t>
  </si>
  <si>
    <t>Total Patients</t>
  </si>
  <si>
    <t>Total Revenue</t>
  </si>
  <si>
    <t>Average Treatment Cost</t>
  </si>
  <si>
    <t>Recovered Patients Count</t>
  </si>
  <si>
    <t>Recovery Rate (%)</t>
  </si>
  <si>
    <t>Critical Patients Count</t>
  </si>
  <si>
    <t>Average Length of Stay</t>
  </si>
  <si>
    <t>Revenue by Department (Example: Cardiology)</t>
  </si>
  <si>
    <t>Insurance Revenue</t>
  </si>
  <si>
    <t>Self Revenue</t>
  </si>
  <si>
    <t>Row Labels</t>
  </si>
  <si>
    <t>Grand Total</t>
  </si>
  <si>
    <t>Count of Patient_ID</t>
  </si>
  <si>
    <t>Sum of Treatment_Cost</t>
  </si>
  <si>
    <t>Sep</t>
  </si>
  <si>
    <t>Oct</t>
  </si>
  <si>
    <t>Nov</t>
  </si>
  <si>
    <t>Dec</t>
  </si>
  <si>
    <t>Column Labels</t>
  </si>
  <si>
    <t>Healthcare Performance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</si>
</sst>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4009]\ * #,##0.00_ ;_ [$₹-4009]\ * \-#,##0.00_ ;_ [$₹-4009]\ * &quot;-&quot;??_ ;_ @_ "/>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14" fontId="0" fillId="0" borderId="0" xfId="0" applyNumberFormat="1"/>
    <xf numFmtId="0" fontId="0" fillId="0" borderId="0" xfId="0" pivotButton="1"/>
    <xf numFmtId="0" fontId="0" fillId="0" borderId="0" xfId="0" applyAlignment="1">
      <alignment horizontal="left"/>
    </xf>
    <xf numFmtId="164"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164" formatCode="_ [$₹-4009]\ * #,##0.00_ ;_ [$₹-4009]\ * \-#,##0.00_ ;_ [$₹-4009]\ * &quot;-&quot;??_ ;_ @_ "/>
    </dxf>
    <dxf>
      <numFmt numFmtId="0" formatCode="General"/>
    </dxf>
    <dxf>
      <numFmt numFmtId="0" formatCode="General"/>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1/relationships/timelineCache" Target="timelineCaches/timelineCache2.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[Healthcare_500_Rows_Dataset.xlsm]2!PivotTable4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'2'!$A$4:$A$9</c:f>
              <c:strCache>
                <c:ptCount val="5"/>
                <c:pt idx="0">
                  <c:v>Cardiology</c:v>
                </c:pt>
                <c:pt idx="1">
                  <c:v>General</c:v>
                </c:pt>
                <c:pt idx="2">
                  <c:v>Neurology</c:v>
                </c:pt>
                <c:pt idx="3">
                  <c:v>Orthopedics</c:v>
                </c:pt>
                <c:pt idx="4">
                  <c:v>Pediatrics</c:v>
                </c:pt>
              </c:strCache>
            </c:strRef>
          </c:cat>
          <c:val>
            <c:numRef>
              <c:f>'2'!$B$4:$B$9</c:f>
              <c:numCache>
                <c:formatCode>_ [$₹-4009]\ * #,##0.00_ ;_ [$₹-4009]\ * \-#,##0.00_ ;_ [$₹-4009]\ * "-"??_ ;_ @_ </c:formatCode>
                <c:ptCount val="5"/>
                <c:pt idx="0">
                  <c:v>6155976</c:v>
                </c:pt>
                <c:pt idx="1">
                  <c:v>5542188</c:v>
                </c:pt>
                <c:pt idx="2">
                  <c:v>5681018</c:v>
                </c:pt>
                <c:pt idx="3">
                  <c:v>5154118</c:v>
                </c:pt>
                <c:pt idx="4">
                  <c:v>4220594</c:v>
                </c:pt>
              </c:numCache>
            </c:numRef>
          </c:val>
          <c:extLst>
            <c:ext xmlns:c16="http://schemas.microsoft.com/office/drawing/2014/chart" uri="{C3380CC4-5D6E-409C-BE32-E72D297353CC}">
              <c16:uniqueId val="{00000000-7676-4185-B702-B9279EA789DE}"/>
            </c:ext>
          </c:extLst>
        </c:ser>
        <c:dLbls>
          <c:dLblPos val="outEnd"/>
          <c:showLegendKey val="0"/>
          <c:showVal val="1"/>
          <c:showCatName val="0"/>
          <c:showSerName val="0"/>
          <c:showPercent val="0"/>
          <c:showBubbleSize val="0"/>
        </c:dLbls>
        <c:gapWidth val="182"/>
        <c:axId val="1156455919"/>
        <c:axId val="1156464559"/>
      </c:barChart>
      <c:catAx>
        <c:axId val="1156455919"/>
        <c:scaling>
          <c:orientation val="minMax"/>
        </c:scaling>
        <c:delete val="1"/>
        <c:axPos val="l"/>
        <c:numFmt formatCode="General" sourceLinked="1"/>
        <c:majorTickMark val="none"/>
        <c:minorTickMark val="none"/>
        <c:tickLblPos val="nextTo"/>
        <c:crossAx val="1156464559"/>
        <c:crosses val="autoZero"/>
        <c:auto val="1"/>
        <c:lblAlgn val="ctr"/>
        <c:lblOffset val="100"/>
        <c:noMultiLvlLbl val="0"/>
      </c:catAx>
      <c:valAx>
        <c:axId val="1156464559"/>
        <c:scaling>
          <c:orientation val="minMax"/>
        </c:scaling>
        <c:delete val="1"/>
        <c:axPos val="b"/>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crossAx val="1156455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[Healthcare_500_Rows_Dataset.xlsm]3!PivotTable14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'3'!$B$3</c:f>
              <c:strCache>
                <c:ptCount val="1"/>
                <c:pt idx="0">
                  <c:v>Sum of Treatment_Cost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'3'!$A$4:$A$9</c:f>
              <c:strCache>
                <c:ptCount val="5"/>
                <c:pt idx="0">
                  <c:v>Dr. Kumar</c:v>
                </c:pt>
                <c:pt idx="1">
                  <c:v>Dr. Patel</c:v>
                </c:pt>
                <c:pt idx="2">
                  <c:v>Dr. Rao</c:v>
                </c:pt>
                <c:pt idx="3">
                  <c:v>Dr. Reddy</c:v>
                </c:pt>
                <c:pt idx="4">
                  <c:v>Dr. Sharma</c:v>
                </c:pt>
              </c:strCache>
            </c:strRef>
          </c:cat>
          <c:val>
            <c:numRef>
              <c:f>'3'!$B$4:$B$9</c:f>
              <c:numCache>
                <c:formatCode>General</c:formatCode>
                <c:ptCount val="5"/>
                <c:pt idx="0">
                  <c:v>6353790</c:v>
                </c:pt>
                <c:pt idx="1">
                  <c:v>4895140</c:v>
                </c:pt>
                <c:pt idx="2">
                  <c:v>4414701</c:v>
                </c:pt>
                <c:pt idx="3">
                  <c:v>5913082</c:v>
                </c:pt>
                <c:pt idx="4">
                  <c:v>5177181</c:v>
                </c:pt>
              </c:numCache>
            </c:numRef>
          </c:val>
          <c:extLst>
            <c:ext xmlns:c16="http://schemas.microsoft.com/office/drawing/2014/chart" uri="{C3380CC4-5D6E-409C-BE32-E72D297353CC}">
              <c16:uniqueId val="{00000000-CBCA-41D6-A0DB-4100423719E8}"/>
            </c:ext>
          </c:extLst>
        </c:ser>
        <c:dLbls>
          <c:showLegendKey val="0"/>
          <c:showVal val="1"/>
          <c:showCatName val="0"/>
          <c:showSerName val="0"/>
          <c:showPercent val="0"/>
          <c:showBubbleSize val="0"/>
        </c:dLbls>
        <c:gapWidth val="219"/>
        <c:overlap val="-27"/>
        <c:axId val="1156478959"/>
        <c:axId val="1156474159"/>
      </c:barChart>
      <c:lineChart>
        <c:grouping val="standard"/>
        <c:varyColors val="0"/>
        <c:ser>
          <c:idx val="1"/>
          <c:order val="1"/>
          <c:tx>
            <c:strRef>
              <c:f>'3'!$C$3</c:f>
              <c:strCache>
                <c:ptCount val="1"/>
                <c:pt idx="0">
                  <c:v>Count of Patient_ID</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'3'!$A$4:$A$9</c:f>
              <c:strCache>
                <c:ptCount val="5"/>
                <c:pt idx="0">
                  <c:v>Dr. Kumar</c:v>
                </c:pt>
                <c:pt idx="1">
                  <c:v>Dr. Patel</c:v>
                </c:pt>
                <c:pt idx="2">
                  <c:v>Dr. Rao</c:v>
                </c:pt>
                <c:pt idx="3">
                  <c:v>Dr. Reddy</c:v>
                </c:pt>
                <c:pt idx="4">
                  <c:v>Dr. Sharma</c:v>
                </c:pt>
              </c:strCache>
            </c:strRef>
          </c:cat>
          <c:val>
            <c:numRef>
              <c:f>'3'!$C$4:$C$9</c:f>
              <c:numCache>
                <c:formatCode>General</c:formatCode>
                <c:ptCount val="5"/>
                <c:pt idx="0">
                  <c:v>113</c:v>
                </c:pt>
                <c:pt idx="1">
                  <c:v>92</c:v>
                </c:pt>
                <c:pt idx="2">
                  <c:v>91</c:v>
                </c:pt>
                <c:pt idx="3">
                  <c:v>105</c:v>
                </c:pt>
                <c:pt idx="4">
                  <c:v>99</c:v>
                </c:pt>
              </c:numCache>
            </c:numRef>
          </c:val>
          <c:smooth val="0"/>
          <c:extLst>
            <c:ext xmlns:c16="http://schemas.microsoft.com/office/drawing/2014/chart" uri="{C3380CC4-5D6E-409C-BE32-E72D297353CC}">
              <c16:uniqueId val="{00000001-CBCA-41D6-A0DB-4100423719E8}"/>
            </c:ext>
          </c:extLst>
        </c:ser>
        <c:dLbls>
          <c:showLegendKey val="0"/>
          <c:showVal val="1"/>
          <c:showCatName val="0"/>
          <c:showSerName val="0"/>
          <c:showPercent val="0"/>
          <c:showBubbleSize val="0"/>
        </c:dLbls>
        <c:marker val="1"/>
        <c:smooth val="0"/>
        <c:axId val="1156478959"/>
        <c:axId val="1156474159"/>
      </c:lineChart>
      <c:catAx>
        <c:axId val="115647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74159"/>
        <c:crosses val="autoZero"/>
        <c:auto val="1"/>
        <c:lblAlgn val="ctr"/>
        <c:lblOffset val="100"/>
        <c:noMultiLvlLbl val="0"/>
      </c:catAx>
      <c:valAx>
        <c:axId val="115647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78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[Healthcare_500_Rows_Dataset.xlsm]4!PivotTable7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'4'!$B$3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'4'!$A$4:$A$8</c:f>
              <c:strCache>
                <c:ptCount val="4"/>
                <c:pt idx="0">
                  <c:v>Sep</c:v>
                </c:pt>
                <c:pt idx="1">
                  <c:v>Oct</c:v>
                </c:pt>
                <c:pt idx="2">
                  <c:v>Nov</c:v>
                </c:pt>
                <c:pt idx="3">
                  <c:v>Dec</c:v>
                </c:pt>
              </c:strCache>
            </c:strRef>
          </c:cat>
          <c:val>
            <c:numRef>
              <c:f>'4'!$B$4:$B$8</c:f>
              <c:numCache>
                <c:formatCode>General</c:formatCode>
                <c:ptCount val="4"/>
                <c:pt idx="0">
                  <c:v>3</c:v>
                </c:pt>
                <c:pt idx="1">
                  <c:v>46</c:v>
                </c:pt>
                <c:pt idx="2">
                  <c:v>48</c:v>
                </c:pt>
                <c:pt idx="3">
                  <c:v>24</c:v>
                </c:pt>
              </c:numCache>
            </c:numRef>
          </c:val>
          <c:smooth val="0"/>
          <c:extLst>
            <c:ext xmlns:c16="http://schemas.microsoft.com/office/drawing/2014/chart" uri="{C3380CC4-5D6E-409C-BE32-E72D297353CC}">
              <c16:uniqueId val="{00000003-37C2-422E-9710-515119E14925}"/>
            </c:ext>
          </c:extLst>
        </c:ser>
        <c:dLbls>
          <c:dLblPos val="t"/>
          <c:showLegendKey val="0"/>
          <c:showVal val="1"/>
          <c:showCatName val="0"/>
          <c:showSerName val="0"/>
          <c:showPercent val="0"/>
          <c:showBubbleSize val="0"/>
        </c:dLbls>
        <c:smooth val="0"/>
        <c:axId val="1156488559"/>
        <c:axId val="1156498159"/>
      </c:lineChart>
      <c:catAx>
        <c:axId val="115648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98159"/>
        <c:crosses val="autoZero"/>
        <c:auto val="1"/>
        <c:lblAlgn val="ctr"/>
        <c:lblOffset val="100"/>
        <c:noMultiLvlLbl val="0"/>
      </c:catAx>
      <c:valAx>
        <c:axId val="1156498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88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[Healthcare_500_Rows_Dataset.xlsm]5!PivotTable8</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'5'!$B$3:$B$4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'5'!$A$5:$A$8</c:f>
              <c:strCache>
                <c:ptCount val="3"/>
                <c:pt idx="0">
                  <c:v>Critical</c:v>
                </c:pt>
                <c:pt idx="1">
                  <c:v>Recovered</c:v>
                </c:pt>
                <c:pt idx="2">
                  <c:v>Under Treatment</c:v>
                </c:pt>
              </c:strCache>
            </c:strRef>
          </c:cat>
          <c:val>
            <c:numRef>
              <c:f>'5'!$B$5:$B$8</c:f>
              <c:numCache>
                <c:formatCode>General</c:formatCode>
                <c:ptCount val="3"/>
                <c:pt idx="0">
                  <c:v>88</c:v>
                </c:pt>
                <c:pt idx="1">
                  <c:v>80</c:v>
                </c:pt>
                <c:pt idx="2">
                  <c:v>82</c:v>
                </c:pt>
              </c:numCache>
            </c:numRef>
          </c:val>
          <c:extLst>
            <c:ext xmlns:c16="http://schemas.microsoft.com/office/drawing/2014/chart" uri="{C3380CC4-5D6E-409C-BE32-E72D297353CC}">
              <c16:uniqueId val="{00000000-FEFC-40E1-989E-336A2F84ADEA}"/>
            </c:ext>
          </c:extLst>
        </c:ser>
        <c:ser>
          <c:idx val="1"/>
          <c:order val="1"/>
          <c:tx>
            <c:strRef>
              <c:f>'5'!$C$3:$C$4</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'5'!$A$5:$A$8</c:f>
              <c:strCache>
                <c:ptCount val="3"/>
                <c:pt idx="0">
                  <c:v>Critical</c:v>
                </c:pt>
                <c:pt idx="1">
                  <c:v>Recovered</c:v>
                </c:pt>
                <c:pt idx="2">
                  <c:v>Under Treatment</c:v>
                </c:pt>
              </c:strCache>
            </c:strRef>
          </c:cat>
          <c:val>
            <c:numRef>
              <c:f>'5'!$C$5:$C$8</c:f>
              <c:numCache>
                <c:formatCode>General</c:formatCode>
                <c:ptCount val="3"/>
                <c:pt idx="0">
                  <c:v>91</c:v>
                </c:pt>
                <c:pt idx="1">
                  <c:v>78</c:v>
                </c:pt>
                <c:pt idx="2">
                  <c:v>81</c:v>
                </c:pt>
              </c:numCache>
            </c:numRef>
          </c:val>
          <c:extLst>
            <c:ext xmlns:c16="http://schemas.microsoft.com/office/drawing/2014/chart" uri="{C3380CC4-5D6E-409C-BE32-E72D297353CC}">
              <c16:uniqueId val="{0000000A-FEFC-40E1-989E-336A2F84ADEA}"/>
            </c:ext>
          </c:extLst>
        </c:ser>
        <c:dLbls>
          <c:dLblPos val="outEnd"/>
          <c:showLegendKey val="0"/>
          <c:showVal val="1"/>
          <c:showCatName val="0"/>
          <c:showSerName val="0"/>
          <c:showPercent val="0"/>
          <c:showBubbleSize val="0"/>
        </c:dLbls>
        <c:gapWidth val="219"/>
        <c:overlap val="-27"/>
        <c:axId val="1156497199"/>
        <c:axId val="1156469839"/>
      </c:barChart>
      <c:catAx>
        <c:axId val="11564971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69839"/>
        <c:crosses val="autoZero"/>
        <c:auto val="1"/>
        <c:lblAlgn val="ctr"/>
        <c:lblOffset val="100"/>
        <c:noMultiLvlLbl val="0"/>
      </c:catAx>
      <c:valAx>
        <c:axId val="1156469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97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[Healthcare_500_Rows_Dataset.xlsm]6!PivotTable9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'6'!$B$3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911-46A2-ABAC-1A8019135B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911-46A2-ABAC-1A8019135B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'6'!$A$4:$A$6</c:f>
              <c:strCache>
                <c:ptCount val="2"/>
                <c:pt idx="0">
                  <c:v>Insurance</c:v>
                </c:pt>
                <c:pt idx="1">
                  <c:v>Self</c:v>
                </c:pt>
              </c:strCache>
            </c:strRef>
          </c:cat>
          <c:val>
            <c:numRef>
              <c:f>'6'!$B$4:$B$6</c:f>
              <c:numCache>
                <c:formatCode>General</c:formatCode>
                <c:ptCount val="2"/>
                <c:pt idx="0">
                  <c:v>13772957</c:v>
                </c:pt>
                <c:pt idx="1">
                  <c:v>12980937</c:v>
                </c:pt>
              </c:numCache>
            </c:numRef>
          </c:val>
          <c:extLst>
            <c:ext xmlns:c16="http://schemas.microsoft.com/office/drawing/2014/chart" uri="{C3380CC4-5D6E-409C-BE32-E72D297353CC}">
              <c16:uniqueId val="{00000000-B8C3-4263-8724-690DC0F3897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[Healthcare_500_Rows_Dataset.xlsm]2!PivotTable4</c:name>
    <c:fmtId val="6"/>
  </c:pivotSource>
  <c:chart>
    <c:title>
      <c:tx>
        <c:rich>
          <a:bodyPr rot="0" spcFirstLastPara="1" vertOverflow="ellipsis" vert="horz" wrap="square" anchor="ctr" anchorCtr="1"/>
          <a:lstStyle/>
          <a:p>
            <a:pPr>
              <a:defRPr sz="1400" b="0" i="0" u="none" strike="noStrike" kern="1200" cap="none" spc="0" baseline="0">
                <a:ln w="0">
                  <a:solidFill>
                    <a:sysClr val="windowText" lastClr="000000"/>
                  </a:solidFill>
                </a:ln>
                <a:solidFill>
                  <a:schemeClr val="tx1"/>
                </a:solidFill>
                <a:effectLst>
                  <a:outerShdw blurRad="38100" dist="19050" dir="2700000" algn="tl" rotWithShape="0">
                    <a:schemeClr val="dk1">
                      <a:alpha val="40000"/>
                    </a:schemeClr>
                  </a:outerShdw>
                </a:effectLst>
                <a:latin typeface="+mn-lt"/>
                <a:ea typeface="+mn-ea"/>
                <a:cs typeface="+mn-cs"/>
              </a:defRPr>
            </a:pPr>
            <a:r>
              <a:rPr lang="en-IN" sz="1800" b="0" i="1" u="none" strike="noStrike" cap="none" spc="0" baseline="0">
                <a:ln w="0">
                  <a:solidFill>
                    <a:sysClr val="windowText" lastClr="000000"/>
                  </a:solidFill>
                </a:ln>
                <a:solidFill>
                  <a:schemeClr val="tx1"/>
                </a:solidFill>
                <a:effectLst>
                  <a:outerShdw blurRad="38100" dist="19050" dir="2700000" algn="tl" rotWithShape="0">
                    <a:schemeClr val="dk1">
                      <a:alpha val="40000"/>
                    </a:schemeClr>
                  </a:outerShdw>
                </a:effectLst>
              </a:rPr>
              <a:t>Revenue by Department (₹)</a:t>
            </a:r>
            <a:endParaRPr lang="en-IN" sz="1800" b="0" i="1" cap="none" spc="0" baseline="0">
              <a:ln w="0">
                <a:solidFill>
                  <a:sysClr val="windowText" lastClr="000000"/>
                </a:solidFill>
              </a:ln>
              <a:solidFill>
                <a:schemeClr val="tx1"/>
              </a:solidFill>
              <a:effectLst>
                <a:outerShdw blurRad="38100" dist="19050" dir="2700000" algn="tl" rotWithShape="0">
                  <a:schemeClr val="dk1">
                    <a:alpha val="40000"/>
                  </a:schemeClr>
                </a:outerShdw>
              </a:effectLst>
            </a:endParaRPr>
          </a:p>
        </c:rich>
      </c:tx>
      <c:layout>
        <c:manualLayout>
          <c:xMode val="edge"/>
          <c:yMode val="edge"/>
          <c:x val="0.40770416526007963"/>
          <c:y val="3.0460009827863798E-2"/>
        </c:manualLayout>
      </c:layout>
      <c:overlay val="0"/>
      <c:spPr>
        <a:noFill/>
        <a:ln>
          <a:noFill/>
        </a:ln>
        <a:effectLst/>
      </c:spPr>
      <c:txPr>
        <a:bodyPr rot="0" spcFirstLastPara="1" vertOverflow="ellipsis" vert="horz" wrap="square" anchor="ctr" anchorCtr="1"/>
        <a:lstStyle/>
        <a:p>
          <a:pPr>
            <a:defRPr sz="1400" b="0" i="0" u="none" strike="noStrike" kern="1200" cap="none" spc="0" baseline="0">
              <a:ln w="0">
                <a:solidFill>
                  <a:sysClr val="windowText" lastClr="000000"/>
                </a:solidFill>
              </a:ln>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34039321409366"/>
          <c:y val="0.17927943383241737"/>
          <c:w val="0.84058524492426023"/>
          <c:h val="0.81637566920924609"/>
        </c:manualLayout>
      </c:layout>
      <c:barChart>
        <c:barDir val="bar"/>
        <c:grouping val="clustered"/>
        <c:varyColors val="0"/>
        <c:ser>
          <c:idx val="0"/>
          <c:order val="0"/>
          <c:tx>
            <c:strRef>
              <c:f>'2'!$B$3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'2'!$A$4:$A$9</c:f>
              <c:strCache>
                <c:ptCount val="5"/>
                <c:pt idx="0">
                  <c:v>Cardiology</c:v>
                </c:pt>
                <c:pt idx="1">
                  <c:v>General</c:v>
                </c:pt>
                <c:pt idx="2">
                  <c:v>Neurology</c:v>
                </c:pt>
                <c:pt idx="3">
                  <c:v>Orthopedics</c:v>
                </c:pt>
                <c:pt idx="4">
                  <c:v>Pediatrics</c:v>
                </c:pt>
              </c:strCache>
            </c:strRef>
          </c:cat>
          <c:val>
            <c:numRef>
              <c:f>'2'!$B$4:$B$9</c:f>
              <c:numCache>
                <c:formatCode>_ [$₹-4009]\ * #,##0.00_ ;_ [$₹-4009]\ * \-#,##0.00_ ;_ [$₹-4009]\ * "-"??_ ;_ @_ </c:formatCode>
                <c:ptCount val="5"/>
                <c:pt idx="0">
                  <c:v>6155976</c:v>
                </c:pt>
                <c:pt idx="1">
                  <c:v>5542188</c:v>
                </c:pt>
                <c:pt idx="2">
                  <c:v>5681018</c:v>
                </c:pt>
                <c:pt idx="3">
                  <c:v>5154118</c:v>
                </c:pt>
                <c:pt idx="4">
                  <c:v>4220594</c:v>
                </c:pt>
              </c:numCache>
            </c:numRef>
          </c:val>
          <c:extLst>
            <c:ext xmlns:c16="http://schemas.microsoft.com/office/drawing/2014/chart" uri="{C3380CC4-5D6E-409C-BE32-E72D297353CC}">
              <c16:uniqueId val="{00000000-F1D6-4297-897C-EFB010A4E6D0}"/>
            </c:ext>
          </c:extLst>
        </c:ser>
        <c:dLbls>
          <c:dLblPos val="outEnd"/>
          <c:showLegendKey val="0"/>
          <c:showVal val="1"/>
          <c:showCatName val="0"/>
          <c:showSerName val="0"/>
          <c:showPercent val="0"/>
          <c:showBubbleSize val="0"/>
        </c:dLbls>
        <c:gapWidth val="182"/>
        <c:axId val="1156455919"/>
        <c:axId val="1156464559"/>
      </c:barChart>
      <c:catAx>
        <c:axId val="1156455919"/>
        <c:scaling>
          <c:orientation val="minMax"/>
        </c:scaling>
        <c:delete val="1"/>
        <c:axPos val="l"/>
        <c:numFmt formatCode="General" sourceLinked="1"/>
        <c:majorTickMark val="none"/>
        <c:minorTickMark val="none"/>
        <c:tickLblPos val="nextTo"/>
        <c:crossAx val="1156464559"/>
        <c:crosses val="autoZero"/>
        <c:auto val="1"/>
        <c:lblAlgn val="ctr"/>
        <c:lblOffset val="100"/>
        <c:noMultiLvlLbl val="0"/>
      </c:catAx>
      <c:valAx>
        <c:axId val="1156464559"/>
        <c:scaling>
          <c:orientation val="minMax"/>
        </c:scaling>
        <c:delete val="1"/>
        <c:axPos val="b"/>
        <c:numFmt formatCode="_ [$₹-4009]\ * #,##0.00_ ;_ [$₹-4009]\ * \-#,##0.00_ ;_ [$₹-4009]\ * &quot;-&quot;??_ ;_ @_ " sourceLinked="1"/>
        <c:majorTickMark val="none"/>
        <c:minorTickMark val="none"/>
        <c:tickLblPos val="nextTo"/>
        <c:crossAx val="1156455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[Healthcare_500_Rows_Dataset.xlsm]4!PivotTable7</c:name>
    <c:fmtId val="5"/>
  </c:pivotSource>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n-IN" sz="1800" b="0" i="1" u="none" strike="noStrike" cap="none" spc="0" baseline="0">
                <a:ln w="0">
                  <a:solidFill>
                    <a:sysClr val="windowText" lastClr="000000"/>
                  </a:solidFill>
                </a:ln>
                <a:solidFill>
                  <a:schemeClr val="tx1"/>
                </a:solidFill>
                <a:effectLst>
                  <a:outerShdw blurRad="38100" dist="19050" dir="2700000" algn="tl" rotWithShape="0">
                    <a:schemeClr val="dk1">
                      <a:alpha val="40000"/>
                    </a:schemeClr>
                  </a:outerShdw>
                </a:effectLst>
              </a:rPr>
              <a:t>Monthly Patient Admissions – 2025</a:t>
            </a:r>
            <a:endParaRPr lang="en-US" sz="1800" b="0" i="1" cap="none" spc="0">
              <a:ln w="0">
                <a:solidFill>
                  <a:sysClr val="windowText" lastClr="000000"/>
                </a:solidFill>
              </a:ln>
              <a:solidFill>
                <a:schemeClr val="tx1"/>
              </a:solidFill>
              <a:effectLst>
                <a:outerShdw blurRad="38100" dist="19050" dir="2700000" algn="tl" rotWithShape="0">
                  <a:schemeClr val="dk1">
                    <a:alpha val="40000"/>
                  </a:schemeClr>
                </a:outerShdw>
              </a:effectLst>
            </a:endParaRPr>
          </a:p>
        </c:rich>
      </c:tx>
      <c:layout>
        <c:manualLayout>
          <c:xMode val="edge"/>
          <c:yMode val="edge"/>
          <c:x val="0.31888144199607493"/>
          <c:y val="2.8242240673057192E-2"/>
        </c:manualLayout>
      </c:layout>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68448107330415E-2"/>
          <c:y val="0.17681569634453367"/>
          <c:w val="0.92850102795026557"/>
          <c:h val="0.67745503109219152"/>
        </c:manualLayout>
      </c:layout>
      <c:lineChart>
        <c:grouping val="standard"/>
        <c:varyColors val="0"/>
        <c:ser>
          <c:idx val="0"/>
          <c:order val="0"/>
          <c:tx>
            <c:strRef>
              <c:f>'4'!$B$3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'4'!$A$4:$A$8</c:f>
              <c:strCache>
                <c:ptCount val="4"/>
                <c:pt idx="0">
                  <c:v>Sep</c:v>
                </c:pt>
                <c:pt idx="1">
                  <c:v>Oct</c:v>
                </c:pt>
                <c:pt idx="2">
                  <c:v>Nov</c:v>
                </c:pt>
                <c:pt idx="3">
                  <c:v>Dec</c:v>
                </c:pt>
              </c:strCache>
            </c:strRef>
          </c:cat>
          <c:val>
            <c:numRef>
              <c:f>'4'!$B$4:$B$8</c:f>
              <c:numCache>
                <c:formatCode>General</c:formatCode>
                <c:ptCount val="4"/>
                <c:pt idx="0">
                  <c:v>3</c:v>
                </c:pt>
                <c:pt idx="1">
                  <c:v>46</c:v>
                </c:pt>
                <c:pt idx="2">
                  <c:v>48</c:v>
                </c:pt>
                <c:pt idx="3">
                  <c:v>24</c:v>
                </c:pt>
              </c:numCache>
            </c:numRef>
          </c:val>
          <c:smooth val="0"/>
          <c:extLst>
            <c:ext xmlns:c16="http://schemas.microsoft.com/office/drawing/2014/chart" uri="{C3380CC4-5D6E-409C-BE32-E72D297353CC}">
              <c16:uniqueId val="{00000000-E233-433D-BCA9-036F61ADCDF3}"/>
            </c:ext>
          </c:extLst>
        </c:ser>
        <c:dLbls>
          <c:dLblPos val="t"/>
          <c:showLegendKey val="0"/>
          <c:showVal val="1"/>
          <c:showCatName val="0"/>
          <c:showSerName val="0"/>
          <c:showPercent val="0"/>
          <c:showBubbleSize val="0"/>
        </c:dLbls>
        <c:smooth val="0"/>
        <c:axId val="1156488559"/>
        <c:axId val="1156498159"/>
      </c:lineChart>
      <c:catAx>
        <c:axId val="1156488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98159"/>
        <c:crosses val="autoZero"/>
        <c:auto val="1"/>
        <c:lblAlgn val="ctr"/>
        <c:lblOffset val="100"/>
        <c:noMultiLvlLbl val="0"/>
      </c:catAx>
      <c:valAx>
        <c:axId val="11564981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88559"/>
        <c:crosses val="autoZero"/>
        <c:crossBetween val="between"/>
      </c:valAx>
      <c:spPr>
        <a:noFill/>
        <a:ln>
          <a:solidFill>
            <a:schemeClr val="bg2"/>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[Healthcare_500_Rows_Dataset.xlsm]5!PivotTable8</c:name>
    <c:fmtId val="6"/>
  </c:pivotSource>
  <c:chart>
    <c:title>
      <c:tx>
        <c:rich>
          <a:bodyPr rot="0" spcFirstLastPara="1" vertOverflow="ellipsis" vert="horz" wrap="square" anchor="ctr" anchorCtr="1"/>
          <a:lstStyle/>
          <a:p>
            <a:pPr>
              <a:defRPr sz="1800" b="0" i="1" u="none" strike="noStrike" kern="1200" cap="none" spc="0" baseline="0">
                <a:ln w="0">
                  <a:solidFill>
                    <a:sysClr val="windowText" lastClr="000000"/>
                  </a:solidFill>
                </a:ln>
                <a:solidFill>
                  <a:schemeClr val="tx1"/>
                </a:solidFill>
                <a:effectLst>
                  <a:outerShdw blurRad="38100" dist="19050" dir="2700000" algn="tl" rotWithShape="0">
                    <a:schemeClr val="dk1">
                      <a:alpha val="40000"/>
                    </a:schemeClr>
                  </a:outerShdw>
                </a:effectLst>
                <a:latin typeface="+mn-lt"/>
                <a:ea typeface="+mn-ea"/>
                <a:cs typeface="+mn-cs"/>
              </a:defRPr>
            </a:pPr>
            <a:r>
              <a:rPr lang="en-IN" sz="1800" b="0" i="1" u="none" strike="noStrike" cap="none" baseline="0">
                <a:effectLst>
                  <a:outerShdw blurRad="38100" dist="19050" dir="2700000" algn="tl" rotWithShape="0">
                    <a:sysClr val="windowText" lastClr="000000">
                      <a:alpha val="40000"/>
                    </a:sysClr>
                  </a:outerShdw>
                </a:effectLst>
              </a:rPr>
              <a:t>Patient Outcome Distribution</a:t>
            </a:r>
            <a:r>
              <a:rPr lang="en-IN" sz="1800" b="0" i="1" u="none" strike="noStrike" cap="none" spc="0" baseline="0">
                <a:ln w="0">
                  <a:solidFill>
                    <a:sysClr val="windowText" lastClr="000000"/>
                  </a:solidFill>
                </a:ln>
                <a:solidFill>
                  <a:schemeClr val="tx1"/>
                </a:solidFill>
                <a:effectLst>
                  <a:outerShdw blurRad="38100" dist="19050" dir="2700000" algn="tl" rotWithShape="0">
                    <a:schemeClr val="dk1">
                      <a:alpha val="40000"/>
                    </a:schemeClr>
                  </a:outerShdw>
                </a:effectLst>
              </a:rPr>
              <a:t>  </a:t>
            </a:r>
            <a:endParaRPr lang="en-IN" sz="1800" b="0" i="1" cap="none" spc="0">
              <a:ln w="0">
                <a:solidFill>
                  <a:sysClr val="windowText" lastClr="000000"/>
                </a:solidFill>
              </a:ln>
              <a:solidFill>
                <a:schemeClr val="tx1"/>
              </a:solidFill>
              <a:effectLst>
                <a:outerShdw blurRad="38100" dist="19050" dir="2700000" algn="tl" rotWithShape="0">
                  <a:schemeClr val="dk1">
                    <a:alpha val="40000"/>
                  </a:schemeClr>
                </a:outerShdw>
              </a:effectLst>
            </a:endParaRPr>
          </a:p>
        </c:rich>
      </c:tx>
      <c:layout>
        <c:manualLayout>
          <c:xMode val="edge"/>
          <c:yMode val="edge"/>
          <c:x val="0.37303560562955573"/>
          <c:y val="3.283582304345626E-2"/>
        </c:manualLayout>
      </c:layout>
      <c:overlay val="0"/>
      <c:spPr>
        <a:noFill/>
        <a:ln>
          <a:noFill/>
        </a:ln>
        <a:effectLst/>
      </c:spPr>
      <c:txPr>
        <a:bodyPr rot="0" spcFirstLastPara="1" vertOverflow="ellipsis" vert="horz" wrap="square" anchor="ctr" anchorCtr="1"/>
        <a:lstStyle/>
        <a:p>
          <a:pPr>
            <a:defRPr sz="1800" b="0" i="1" u="none" strike="noStrike" kern="1200" cap="none" spc="0" baseline="0">
              <a:ln w="0">
                <a:solidFill>
                  <a:sysClr val="windowText" lastClr="000000"/>
                </a:solidFill>
              </a:ln>
              <a:solidFill>
                <a:schemeClr val="tx1"/>
              </a:solidFill>
              <a:effectLst>
                <a:outerShdw blurRad="38100" dist="19050" dir="2700000" algn="tl" rotWithShape="0">
                  <a:schemeClr val="dk1">
                    <a:alpha val="40000"/>
                  </a:schemeClr>
                </a:outerShdw>
              </a:effectLst>
              <a:latin typeface="+mn-lt"/>
              <a:ea typeface="+mn-ea"/>
              <a:cs typeface="+mn-cs"/>
            </a:defRPr>
          </a:pPr>
          <a:endParaRPr lang="en-IN"/>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solidFill>
              <a:srgbClr val="FF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rgbClr val="FF0000"/>
          </a:solidFill>
          <a:ln>
            <a:solidFill>
              <a:srgbClr val="FF0000"/>
            </a:solidFill>
          </a:ln>
          <a:effectLst/>
        </c:spPr>
      </c:pivotFmt>
      <c:pivotFmt>
        <c:idx val="7"/>
        <c:spPr>
          <a:solidFill>
            <a:schemeClr val="accent6"/>
          </a:solidFill>
          <a:ln>
            <a:solidFill>
              <a:srgbClr val="FF0000"/>
            </a:solidFill>
          </a:ln>
          <a:effectLst/>
        </c:spPr>
      </c:pivotFmt>
      <c:pivotFmt>
        <c:idx val="8"/>
        <c:spPr>
          <a:solidFill>
            <a:schemeClr val="accent6"/>
          </a:solidFill>
          <a:ln>
            <a:noFill/>
          </a:ln>
          <a:effectLst/>
        </c:spPr>
      </c:pivotFmt>
      <c:pivotFmt>
        <c:idx val="9"/>
        <c:spPr>
          <a:solidFill>
            <a:srgbClr val="FFC000"/>
          </a:solidFill>
          <a:ln>
            <a:solidFill>
              <a:srgbClr val="FF0000"/>
            </a:solidFill>
          </a:ln>
          <a:effectLst/>
        </c:spPr>
      </c:pivotFmt>
      <c:pivotFmt>
        <c:idx val="10"/>
        <c:spPr>
          <a:solidFill>
            <a:srgbClr val="FFC000"/>
          </a:solidFill>
          <a:ln>
            <a:noFill/>
          </a:ln>
          <a:effectLst/>
        </c:spPr>
      </c:pivotFmt>
      <c:pivotFmt>
        <c:idx val="11"/>
        <c:spPr>
          <a:solidFill>
            <a:schemeClr val="accent1"/>
          </a:solidFill>
          <a:ln>
            <a:solidFill>
              <a:srgbClr val="FF0000"/>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FF0000"/>
          </a:solidFill>
          <a:ln>
            <a:solidFill>
              <a:srgbClr val="FF0000"/>
            </a:solidFill>
          </a:ln>
          <a:effectLst/>
        </c:spPr>
      </c:pivotFmt>
      <c:pivotFmt>
        <c:idx val="13"/>
        <c:spPr>
          <a:solidFill>
            <a:schemeClr val="accent6"/>
          </a:solidFill>
          <a:ln>
            <a:solidFill>
              <a:srgbClr val="FF0000"/>
            </a:solidFill>
          </a:ln>
          <a:effectLst/>
        </c:spPr>
      </c:pivotFmt>
      <c:pivotFmt>
        <c:idx val="14"/>
        <c:spPr>
          <a:solidFill>
            <a:srgbClr val="FFC000"/>
          </a:solidFill>
          <a:ln>
            <a:solidFill>
              <a:srgbClr val="FF0000"/>
            </a:solidFill>
          </a:ln>
          <a:effectLst/>
        </c:spPr>
      </c:pivotFmt>
      <c:pivotFmt>
        <c:idx val="15"/>
        <c:spPr>
          <a:solidFill>
            <a:srgbClr val="FF0000"/>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6"/>
          </a:solidFill>
          <a:ln>
            <a:noFill/>
          </a:ln>
          <a:effectLst/>
        </c:spPr>
      </c:pivotFmt>
      <c:pivotFmt>
        <c:idx val="17"/>
        <c:spPr>
          <a:solidFill>
            <a:srgbClr val="FFC000"/>
          </a:solidFill>
          <a:ln>
            <a:noFill/>
          </a:ln>
          <a:effectLst/>
        </c:spPr>
      </c:pivotFmt>
      <c:pivotFmt>
        <c:idx val="18"/>
        <c:spPr>
          <a:solidFill>
            <a:schemeClr val="accent1"/>
          </a:solidFill>
          <a:ln>
            <a:solidFill>
              <a:srgbClr val="FF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0000"/>
          </a:solidFill>
          <a:ln>
            <a:solidFill>
              <a:srgbClr val="FF0000"/>
            </a:solidFill>
          </a:ln>
          <a:effectLst/>
        </c:spPr>
      </c:pivotFmt>
      <c:pivotFmt>
        <c:idx val="20"/>
        <c:spPr>
          <a:solidFill>
            <a:schemeClr val="accent6"/>
          </a:solidFill>
          <a:ln>
            <a:solidFill>
              <a:srgbClr val="FF0000"/>
            </a:solidFill>
          </a:ln>
          <a:effectLst/>
        </c:spPr>
      </c:pivotFmt>
      <c:pivotFmt>
        <c:idx val="21"/>
        <c:spPr>
          <a:solidFill>
            <a:srgbClr val="FFC000"/>
          </a:solidFill>
          <a:ln>
            <a:solidFill>
              <a:srgbClr val="FF0000"/>
            </a:solidFill>
          </a:ln>
          <a:effectLst/>
        </c:spPr>
      </c:pivotFmt>
      <c:pivotFmt>
        <c:idx val="22"/>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pivotFmt>
      <c:pivotFmt>
        <c:idx val="24"/>
        <c:spPr>
          <a:solidFill>
            <a:srgbClr val="FFC000"/>
          </a:solidFill>
          <a:ln>
            <a:noFill/>
          </a:ln>
          <a:effectLst/>
        </c:spPr>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6580927384076991E-2"/>
          <c:y val="0.26791447944006996"/>
          <c:w val="0.7632801837270341"/>
          <c:h val="0.53774387576552929"/>
        </c:manualLayout>
      </c:layout>
      <c:barChart>
        <c:barDir val="col"/>
        <c:grouping val="clustered"/>
        <c:varyColors val="0"/>
        <c:ser>
          <c:idx val="0"/>
          <c:order val="0"/>
          <c:tx>
            <c:strRef>
              <c:f>'5'!$B$3:$B$4</c:f>
              <c:strCache>
                <c:ptCount val="1"/>
                <c:pt idx="0">
                  <c:v>Female</c:v>
                </c:pt>
              </c:strCache>
            </c:strRef>
          </c:tx>
          <c:spPr>
            <a:solidFill>
              <a:schemeClr val="accent1"/>
            </a:solidFill>
            <a:ln>
              <a:solidFill>
                <a:srgbClr val="FF0000"/>
              </a:solidFill>
            </a:ln>
            <a:effectLst/>
          </c:spPr>
          <c:invertIfNegative val="0"/>
          <c:dPt>
            <c:idx val="0"/>
            <c:invertIfNegative val="0"/>
            <c:bubble3D val="0"/>
            <c:spPr>
              <a:solidFill>
                <a:srgbClr val="FF0000"/>
              </a:solidFill>
              <a:ln>
                <a:solidFill>
                  <a:srgbClr val="FF0000"/>
                </a:solidFill>
              </a:ln>
              <a:effectLst/>
            </c:spPr>
            <c:extLst>
              <c:ext xmlns:c16="http://schemas.microsoft.com/office/drawing/2014/chart" uri="{C3380CC4-5D6E-409C-BE32-E72D297353CC}">
                <c16:uniqueId val="{00000001-F8DE-437E-A3F1-0E756F62B92C}"/>
              </c:ext>
            </c:extLst>
          </c:dPt>
          <c:dPt>
            <c:idx val="1"/>
            <c:invertIfNegative val="0"/>
            <c:bubble3D val="0"/>
            <c:spPr>
              <a:solidFill>
                <a:schemeClr val="accent6"/>
              </a:solidFill>
              <a:ln>
                <a:solidFill>
                  <a:srgbClr val="FF0000"/>
                </a:solidFill>
              </a:ln>
              <a:effectLst/>
            </c:spPr>
            <c:extLst>
              <c:ext xmlns:c16="http://schemas.microsoft.com/office/drawing/2014/chart" uri="{C3380CC4-5D6E-409C-BE32-E72D297353CC}">
                <c16:uniqueId val="{00000003-F8DE-437E-A3F1-0E756F62B92C}"/>
              </c:ext>
            </c:extLst>
          </c:dPt>
          <c:dPt>
            <c:idx val="2"/>
            <c:invertIfNegative val="0"/>
            <c:bubble3D val="0"/>
            <c:spPr>
              <a:solidFill>
                <a:srgbClr val="FFC000"/>
              </a:solidFill>
              <a:ln>
                <a:solidFill>
                  <a:srgbClr val="FF0000"/>
                </a:solidFill>
              </a:ln>
              <a:effectLst/>
            </c:spPr>
            <c:extLst>
              <c:ext xmlns:c16="http://schemas.microsoft.com/office/drawing/2014/chart" uri="{C3380CC4-5D6E-409C-BE32-E72D297353CC}">
                <c16:uniqueId val="{00000005-F8DE-437E-A3F1-0E756F62B9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'5'!$A$5:$A$8</c:f>
              <c:strCache>
                <c:ptCount val="3"/>
                <c:pt idx="0">
                  <c:v>Critical</c:v>
                </c:pt>
                <c:pt idx="1">
                  <c:v>Recovered</c:v>
                </c:pt>
                <c:pt idx="2">
                  <c:v>Under Treatment</c:v>
                </c:pt>
              </c:strCache>
            </c:strRef>
          </c:cat>
          <c:val>
            <c:numRef>
              <c:f>'5'!$B$5:$B$8</c:f>
              <c:numCache>
                <c:formatCode>General</c:formatCode>
                <c:ptCount val="3"/>
                <c:pt idx="0">
                  <c:v>88</c:v>
                </c:pt>
                <c:pt idx="1">
                  <c:v>80</c:v>
                </c:pt>
                <c:pt idx="2">
                  <c:v>82</c:v>
                </c:pt>
              </c:numCache>
            </c:numRef>
          </c:val>
          <c:extLst>
            <c:ext xmlns:c16="http://schemas.microsoft.com/office/drawing/2014/chart" uri="{C3380CC4-5D6E-409C-BE32-E72D297353CC}">
              <c16:uniqueId val="{00000006-F8DE-437E-A3F1-0E756F62B92C}"/>
            </c:ext>
          </c:extLst>
        </c:ser>
        <c:ser>
          <c:idx val="1"/>
          <c:order val="1"/>
          <c:tx>
            <c:strRef>
              <c:f>'5'!$C$3:$C$4</c:f>
              <c:strCache>
                <c:ptCount val="1"/>
                <c:pt idx="0">
                  <c:v>Male</c:v>
                </c:pt>
              </c:strCache>
            </c:strRef>
          </c:tx>
          <c:spPr>
            <a:solidFill>
              <a:srgbClr val="FF0000"/>
            </a:solidFill>
            <a:ln>
              <a:noFill/>
            </a:ln>
            <a:effectLst/>
          </c:spPr>
          <c:invertIfNegative val="0"/>
          <c:dPt>
            <c:idx val="1"/>
            <c:invertIfNegative val="0"/>
            <c:bubble3D val="0"/>
            <c:spPr>
              <a:solidFill>
                <a:schemeClr val="accent6"/>
              </a:solidFill>
              <a:ln>
                <a:noFill/>
              </a:ln>
              <a:effectLst/>
            </c:spPr>
            <c:extLst>
              <c:ext xmlns:c16="http://schemas.microsoft.com/office/drawing/2014/chart" uri="{C3380CC4-5D6E-409C-BE32-E72D297353CC}">
                <c16:uniqueId val="{00000007-18A0-4182-AC03-3D4BCB2F5C85}"/>
              </c:ext>
            </c:extLst>
          </c:dPt>
          <c:dPt>
            <c:idx val="2"/>
            <c:invertIfNegative val="0"/>
            <c:bubble3D val="0"/>
            <c:spPr>
              <a:solidFill>
                <a:srgbClr val="FFC000"/>
              </a:solidFill>
              <a:ln>
                <a:noFill/>
              </a:ln>
              <a:effectLst/>
            </c:spPr>
            <c:extLst>
              <c:ext xmlns:c16="http://schemas.microsoft.com/office/drawing/2014/chart" uri="{C3380CC4-5D6E-409C-BE32-E72D297353CC}">
                <c16:uniqueId val="{00000009-18A0-4182-AC03-3D4BCB2F5C8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'5'!$A$5:$A$8</c:f>
              <c:strCache>
                <c:ptCount val="3"/>
                <c:pt idx="0">
                  <c:v>Critical</c:v>
                </c:pt>
                <c:pt idx="1">
                  <c:v>Recovered</c:v>
                </c:pt>
                <c:pt idx="2">
                  <c:v>Under Treatment</c:v>
                </c:pt>
              </c:strCache>
            </c:strRef>
          </c:cat>
          <c:val>
            <c:numRef>
              <c:f>'5'!$C$5:$C$8</c:f>
              <c:numCache>
                <c:formatCode>General</c:formatCode>
                <c:ptCount val="3"/>
                <c:pt idx="0">
                  <c:v>91</c:v>
                </c:pt>
                <c:pt idx="1">
                  <c:v>78</c:v>
                </c:pt>
                <c:pt idx="2">
                  <c:v>81</c:v>
                </c:pt>
              </c:numCache>
            </c:numRef>
          </c:val>
          <c:extLst>
            <c:ext xmlns:c16="http://schemas.microsoft.com/office/drawing/2014/chart" uri="{C3380CC4-5D6E-409C-BE32-E72D297353CC}">
              <c16:uniqueId val="{0000001A-F8DE-437E-A3F1-0E756F62B92C}"/>
            </c:ext>
          </c:extLst>
        </c:ser>
        <c:dLbls>
          <c:dLblPos val="outEnd"/>
          <c:showLegendKey val="0"/>
          <c:showVal val="1"/>
          <c:showCatName val="0"/>
          <c:showSerName val="0"/>
          <c:showPercent val="0"/>
          <c:showBubbleSize val="0"/>
        </c:dLbls>
        <c:gapWidth val="219"/>
        <c:overlap val="-27"/>
        <c:axId val="1156497199"/>
        <c:axId val="1156469839"/>
      </c:barChart>
      <c:catAx>
        <c:axId val="11564971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69839"/>
        <c:crosses val="autoZero"/>
        <c:auto val="1"/>
        <c:lblAlgn val="ctr"/>
        <c:lblOffset val="100"/>
        <c:noMultiLvlLbl val="0"/>
      </c:catAx>
      <c:valAx>
        <c:axId val="115646983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6497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[Healthcare_500_Rows_Dataset.xlsm]6!PivotTable9</c:name>
    <c:fmtId val="9"/>
  </c:pivotSource>
  <c:chart>
    <c:title>
      <c:tx>
        <c:rich>
          <a:bodyPr rot="0" spcFirstLastPara="1" vertOverflow="ellipsis" vert="horz" wrap="square" anchor="ctr" anchorCtr="1"/>
          <a:lstStyle/>
          <a:p>
            <a:pPr>
              <a:defRPr sz="1800" b="1" i="0" u="none" strike="noStrike" kern="1200" baseline="0">
                <a:ln>
                  <a:solidFill>
                    <a:sysClr val="windowText" lastClr="000000"/>
                  </a:solidFill>
                </a:ln>
                <a:solidFill>
                  <a:schemeClr val="dk1">
                    <a:lumMod val="75000"/>
                    <a:lumOff val="25000"/>
                  </a:schemeClr>
                </a:solidFill>
                <a:latin typeface="+mn-lt"/>
                <a:ea typeface="+mn-ea"/>
                <a:cs typeface="+mn-cs"/>
              </a:defRPr>
            </a:pPr>
            <a:r>
              <a:rPr lang="en-IN" sz="1800" b="1" i="0" u="none" strike="noStrike" baseline="0">
                <a:ln>
                  <a:solidFill>
                    <a:sysClr val="windowText" lastClr="000000"/>
                  </a:solidFill>
                </a:ln>
              </a:rPr>
              <a:t>Payment Type</a:t>
            </a:r>
            <a:endParaRPr lang="en-US">
              <a:ln>
                <a:solidFill>
                  <a:sysClr val="windowText" lastClr="000000"/>
                </a:solidFill>
              </a:ln>
            </a:endParaRPr>
          </a:p>
        </c:rich>
      </c:tx>
      <c:layout>
        <c:manualLayout>
          <c:xMode val="edge"/>
          <c:yMode val="edge"/>
          <c:x val="0.36285682162698646"/>
          <c:y val="2.8373356730961797E-2"/>
        </c:manualLayout>
      </c:layout>
      <c:overlay val="0"/>
      <c:spPr>
        <a:noFill/>
        <a:ln>
          <a:noFill/>
        </a:ln>
        <a:effectLst/>
      </c:spPr>
      <c:txPr>
        <a:bodyPr rot="0" spcFirstLastPara="1" vertOverflow="ellipsis" vert="horz" wrap="square" anchor="ctr" anchorCtr="1"/>
        <a:lstStyle/>
        <a:p>
          <a:pPr>
            <a:defRPr sz="1800" b="1" i="0" u="none" strike="noStrike" kern="1200" baseline="0">
              <a:ln>
                <a:solidFill>
                  <a:sysClr val="windowText" lastClr="000000"/>
                </a:solidFill>
              </a:ln>
              <a:solidFill>
                <a:schemeClr val="dk1">
                  <a:lumMod val="75000"/>
                  <a:lumOff val="25000"/>
                </a:schemeClr>
              </a:solidFill>
              <a:latin typeface="+mn-lt"/>
              <a:ea typeface="+mn-ea"/>
              <a:cs typeface="+mn-cs"/>
            </a:defRPr>
          </a:pPr>
          <a:endParaRPr lang="en-US"/>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2"/>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867304806987752"/>
          <c:y val="0.1931126284848653"/>
          <c:w val="0.58265390386024496"/>
          <c:h val="0.76487444598794374"/>
        </c:manualLayout>
      </c:layout>
      <c:pie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C3B-440F-A321-B89284739290}"/>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C3B-440F-A321-B8928473929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'6'!$A$4:$A$6</c:f>
              <c:strCache>
                <c:ptCount val="2"/>
                <c:pt idx="0">
                  <c:v>Insurance</c:v>
                </c:pt>
                <c:pt idx="1">
                  <c:v>Self</c:v>
                </c:pt>
              </c:strCache>
            </c:strRef>
          </c:cat>
          <c:val>
            <c:numRef>
              <c:f>'6'!$B$4:$B$6</c:f>
              <c:numCache>
                <c:formatCode>General</c:formatCode>
                <c:ptCount val="2"/>
                <c:pt idx="0">
                  <c:v>13772957</c:v>
                </c:pt>
                <c:pt idx="1">
                  <c:v>12980937</c:v>
                </c:pt>
              </c:numCache>
            </c:numRef>
          </c:val>
          <c:extLst>
            <c:ext xmlns:c16="http://schemas.microsoft.com/office/drawing/2014/chart" uri="{C3380CC4-5D6E-409C-BE32-E72D297353CC}">
              <c16:uniqueId val="{00000004-1C3B-440F-A321-B89284739290}"/>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2"/>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image" Target="../media/image1.emf"/><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3</xdr:col>
      <xdr:colOff>594360</xdr:colOff>
      <xdr:row>3</xdr:row>
      <xdr:rowOff>83820</xdr:rowOff>
    </xdr:from>
    <xdr:to>
      <xdr:col>6</xdr:col>
      <xdr:colOff>594360</xdr:colOff>
      <xdr:row>16</xdr:row>
      <xdr:rowOff>173355</xdr:rowOff>
    </xdr:to>
    <mc:AlternateContent xmlns:mc="http://schemas.openxmlformats.org/markup-compatibility/2006" xmlns:a14="http://schemas.microsoft.com/office/drawing/2010/main">
      <mc:Choice Requires="a14">
        <xdr:graphicFrame macro="">
          <xdr:nvGraphicFramePr>
            <xdr:cNvPr id="2" name="Gender">
              <a:extLst>
                <a:ext uri="{FF2B5EF4-FFF2-40B4-BE49-F238E27FC236}">
                  <a16:creationId xmlns:a16="http://schemas.microsoft.com/office/drawing/2014/main" id="{96D229BD-B6D0-CB41-6811-4EEB7B18AD3E}"/>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3284220" y="6324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160020</xdr:colOff>
      <xdr:row>4</xdr:row>
      <xdr:rowOff>0</xdr:rowOff>
    </xdr:from>
    <xdr:to>
      <xdr:col>10</xdr:col>
      <xdr:colOff>160020</xdr:colOff>
      <xdr:row>17</xdr:row>
      <xdr:rowOff>89535</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EC5B8DC3-5FEC-1588-1FA3-0A007340C50E}"/>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288280" y="7315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441960</xdr:colOff>
      <xdr:row>3</xdr:row>
      <xdr:rowOff>175260</xdr:rowOff>
    </xdr:from>
    <xdr:to>
      <xdr:col>19</xdr:col>
      <xdr:colOff>441960</xdr:colOff>
      <xdr:row>17</xdr:row>
      <xdr:rowOff>81915</xdr:rowOff>
    </xdr:to>
    <mc:AlternateContent xmlns:mc="http://schemas.openxmlformats.org/markup-compatibility/2006" xmlns:a14="http://schemas.microsoft.com/office/drawing/2010/main">
      <mc:Choice Requires="a14">
        <xdr:graphicFrame macro="">
          <xdr:nvGraphicFramePr>
            <xdr:cNvPr id="4" name="Doctor">
              <a:extLst>
                <a:ext uri="{FF2B5EF4-FFF2-40B4-BE49-F238E27FC236}">
                  <a16:creationId xmlns:a16="http://schemas.microsoft.com/office/drawing/2014/main" id="{6C1115E5-08F4-3E3F-0AAD-FE11D4B2E51D}"/>
                </a:ext>
              </a:extLst>
            </xdr:cNvPr>
            <xdr:cNvGraphicFramePr/>
          </xdr:nvGraphicFramePr>
          <xdr:xfrm>
            <a:off x="0" y="0"/>
            <a:ext cx="0" cy="0"/>
          </xdr:xfrm>
          <a:graphic>
            <a:graphicData uri="http://schemas.microsoft.com/office/drawing/2010/slicer">
              <sle:slicer xmlns:sle="http://schemas.microsoft.com/office/drawing/2010/slicer" name="Doctor"/>
            </a:graphicData>
          </a:graphic>
        </xdr:graphicFrame>
      </mc:Choice>
      <mc:Fallback xmlns="">
        <xdr:sp macro="" textlink="">
          <xdr:nvSpPr>
            <xdr:cNvPr id="0" name=""/>
            <xdr:cNvSpPr>
              <a:spLocks noTextEdit="1"/>
            </xdr:cNvSpPr>
          </xdr:nvSpPr>
          <xdr:spPr>
            <a:xfrm>
              <a:off x="11056620" y="7239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243840</xdr:colOff>
      <xdr:row>4</xdr:row>
      <xdr:rowOff>22860</xdr:rowOff>
    </xdr:from>
    <xdr:to>
      <xdr:col>13</xdr:col>
      <xdr:colOff>243840</xdr:colOff>
      <xdr:row>17</xdr:row>
      <xdr:rowOff>112395</xdr:rowOff>
    </xdr:to>
    <mc:AlternateContent xmlns:mc="http://schemas.openxmlformats.org/markup-compatibility/2006" xmlns:a14="http://schemas.microsoft.com/office/drawing/2010/main">
      <mc:Choice Requires="a14">
        <xdr:graphicFrame macro="">
          <xdr:nvGraphicFramePr>
            <xdr:cNvPr id="5" name="Payment_Type">
              <a:extLst>
                <a:ext uri="{FF2B5EF4-FFF2-40B4-BE49-F238E27FC236}">
                  <a16:creationId xmlns:a16="http://schemas.microsoft.com/office/drawing/2014/main" id="{109F678B-5A79-3206-ACFC-DC7C88DCF448}"/>
                </a:ext>
              </a:extLst>
            </xdr:cNvPr>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7200900" y="7543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335280</xdr:colOff>
      <xdr:row>3</xdr:row>
      <xdr:rowOff>152400</xdr:rowOff>
    </xdr:from>
    <xdr:to>
      <xdr:col>16</xdr:col>
      <xdr:colOff>335280</xdr:colOff>
      <xdr:row>17</xdr:row>
      <xdr:rowOff>59055</xdr:rowOff>
    </xdr:to>
    <mc:AlternateContent xmlns:mc="http://schemas.openxmlformats.org/markup-compatibility/2006" xmlns:a14="http://schemas.microsoft.com/office/drawing/2010/main">
      <mc:Choice Requires="a14">
        <xdr:graphicFrame macro="">
          <xdr:nvGraphicFramePr>
            <xdr:cNvPr id="6" name="Outcome">
              <a:extLst>
                <a:ext uri="{FF2B5EF4-FFF2-40B4-BE49-F238E27FC236}">
                  <a16:creationId xmlns:a16="http://schemas.microsoft.com/office/drawing/2014/main" id="{F7163547-4B21-2C8B-78E9-80252EBF873A}"/>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9121140" y="7010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205740</xdr:colOff>
      <xdr:row>1</xdr:row>
      <xdr:rowOff>99060</xdr:rowOff>
    </xdr:from>
    <xdr:to>
      <xdr:col>10</xdr:col>
      <xdr:colOff>510540</xdr:colOff>
      <xdr:row>16</xdr:row>
      <xdr:rowOff>99060</xdr:rowOff>
    </xdr:to>
    <xdr:graphicFrame macro="">
      <xdr:nvGraphicFramePr>
        <xdr:cNvPr id="2" name="Chart 1">
          <a:extLst>
            <a:ext uri="{FF2B5EF4-FFF2-40B4-BE49-F238E27FC236}">
              <a16:creationId xmlns:a16="http://schemas.microsoft.com/office/drawing/2014/main" id="{FD6B6AD4-B610-DA32-2B40-7AB82DF7FC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220980</xdr:colOff>
      <xdr:row>2</xdr:row>
      <xdr:rowOff>68580</xdr:rowOff>
    </xdr:from>
    <xdr:to>
      <xdr:col>11</xdr:col>
      <xdr:colOff>525780</xdr:colOff>
      <xdr:row>17</xdr:row>
      <xdr:rowOff>68580</xdr:rowOff>
    </xdr:to>
    <xdr:graphicFrame macro="">
      <xdr:nvGraphicFramePr>
        <xdr:cNvPr id="2" name="Chart 1">
          <a:extLst>
            <a:ext uri="{FF2B5EF4-FFF2-40B4-BE49-F238E27FC236}">
              <a16:creationId xmlns:a16="http://schemas.microsoft.com/office/drawing/2014/main" id="{4D30C4C2-4027-1961-F23D-CDDD6F24E7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441960</xdr:colOff>
      <xdr:row>6</xdr:row>
      <xdr:rowOff>45720</xdr:rowOff>
    </xdr:from>
    <xdr:to>
      <xdr:col>11</xdr:col>
      <xdr:colOff>137160</xdr:colOff>
      <xdr:row>21</xdr:row>
      <xdr:rowOff>45720</xdr:rowOff>
    </xdr:to>
    <xdr:graphicFrame macro="">
      <xdr:nvGraphicFramePr>
        <xdr:cNvPr id="2" name="Chart 1">
          <a:extLst>
            <a:ext uri="{FF2B5EF4-FFF2-40B4-BE49-F238E27FC236}">
              <a16:creationId xmlns:a16="http://schemas.microsoft.com/office/drawing/2014/main" id="{AC9967C6-1244-3788-C58C-DF02871340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525780</xdr:colOff>
      <xdr:row>11</xdr:row>
      <xdr:rowOff>60960</xdr:rowOff>
    </xdr:from>
    <xdr:to>
      <xdr:col>20</xdr:col>
      <xdr:colOff>205740</xdr:colOff>
      <xdr:row>18</xdr:row>
      <xdr:rowOff>152400</xdr:rowOff>
    </xdr:to>
    <mc:AlternateContent xmlns:mc="http://schemas.openxmlformats.org/markup-compatibility/2006" xmlns:tsle="http://schemas.microsoft.com/office/drawing/2012/timeslicer">
      <mc:Choice Requires="tsle">
        <xdr:graphicFrame macro="">
          <xdr:nvGraphicFramePr>
            <xdr:cNvPr id="3" name="Admission_Date">
              <a:extLst>
                <a:ext uri="{FF2B5EF4-FFF2-40B4-BE49-F238E27FC236}">
                  <a16:creationId xmlns:a16="http://schemas.microsoft.com/office/drawing/2014/main" id="{B153693F-AB9B-0F8A-8C39-0FAB098A02A7}"/>
                </a:ext>
              </a:extLst>
            </xdr:cNvPr>
            <xdr:cNvGraphicFramePr/>
          </xdr:nvGraphicFramePr>
          <xdr:xfrm>
            <a:off x="0" y="0"/>
            <a:ext cx="0" cy="0"/>
          </xdr:xfrm>
          <a:graphic>
            <a:graphicData uri="http://schemas.microsoft.com/office/drawing/2012/timeslicer">
              <tsle:timeslicer name="Admission_Date"/>
            </a:graphicData>
          </a:graphic>
        </xdr:graphicFrame>
      </mc:Choice>
      <mc:Fallback xmlns="">
        <xdr:sp macro="" textlink="">
          <xdr:nvSpPr>
            <xdr:cNvPr id="0" name=""/>
            <xdr:cNvSpPr>
              <a:spLocks noTextEdit="1"/>
            </xdr:cNvSpPr>
          </xdr:nvSpPr>
          <xdr:spPr>
            <a:xfrm>
              <a:off x="9921240" y="207264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14</xdr:col>
      <xdr:colOff>556260</xdr:colOff>
      <xdr:row>3</xdr:row>
      <xdr:rowOff>0</xdr:rowOff>
    </xdr:from>
    <xdr:to>
      <xdr:col>20</xdr:col>
      <xdr:colOff>236220</xdr:colOff>
      <xdr:row>10</xdr:row>
      <xdr:rowOff>91440</xdr:rowOff>
    </xdr:to>
    <mc:AlternateContent xmlns:mc="http://schemas.openxmlformats.org/markup-compatibility/2006" xmlns:tsle="http://schemas.microsoft.com/office/drawing/2012/timeslicer">
      <mc:Choice Requires="tsle">
        <xdr:graphicFrame macro="">
          <xdr:nvGraphicFramePr>
            <xdr:cNvPr id="4" name="Discharge_Date">
              <a:extLst>
                <a:ext uri="{FF2B5EF4-FFF2-40B4-BE49-F238E27FC236}">
                  <a16:creationId xmlns:a16="http://schemas.microsoft.com/office/drawing/2014/main" id="{17F1C49A-032A-4FE3-6EB8-A0F0CC537DEC}"/>
                </a:ext>
              </a:extLst>
            </xdr:cNvPr>
            <xdr:cNvGraphicFramePr/>
          </xdr:nvGraphicFramePr>
          <xdr:xfrm>
            <a:off x="0" y="0"/>
            <a:ext cx="0" cy="0"/>
          </xdr:xfrm>
          <a:graphic>
            <a:graphicData uri="http://schemas.microsoft.com/office/drawing/2012/timeslicer">
              <tsle:timeslicer name="Discharge_Date"/>
            </a:graphicData>
          </a:graphic>
        </xdr:graphicFrame>
      </mc:Choice>
      <mc:Fallback xmlns="">
        <xdr:sp macro="" textlink="">
          <xdr:nvSpPr>
            <xdr:cNvPr id="0" name=""/>
            <xdr:cNvSpPr>
              <a:spLocks noTextEdit="1"/>
            </xdr:cNvSpPr>
          </xdr:nvSpPr>
          <xdr:spPr>
            <a:xfrm>
              <a:off x="9951720" y="54864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6</xdr:col>
      <xdr:colOff>198120</xdr:colOff>
      <xdr:row>6</xdr:row>
      <xdr:rowOff>45720</xdr:rowOff>
    </xdr:from>
    <xdr:to>
      <xdr:col>13</xdr:col>
      <xdr:colOff>502920</xdr:colOff>
      <xdr:row>21</xdr:row>
      <xdr:rowOff>45720</xdr:rowOff>
    </xdr:to>
    <xdr:graphicFrame macro="">
      <xdr:nvGraphicFramePr>
        <xdr:cNvPr id="2" name="Chart 1">
          <a:extLst>
            <a:ext uri="{FF2B5EF4-FFF2-40B4-BE49-F238E27FC236}">
              <a16:creationId xmlns:a16="http://schemas.microsoft.com/office/drawing/2014/main" id="{1AD7B25A-7F95-C69C-CABD-FBCDE3E8B0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594360</xdr:colOff>
      <xdr:row>2</xdr:row>
      <xdr:rowOff>76200</xdr:rowOff>
    </xdr:from>
    <xdr:to>
      <xdr:col>11</xdr:col>
      <xdr:colOff>289560</xdr:colOff>
      <xdr:row>17</xdr:row>
      <xdr:rowOff>76200</xdr:rowOff>
    </xdr:to>
    <xdr:graphicFrame macro="">
      <xdr:nvGraphicFramePr>
        <xdr:cNvPr id="2" name="Chart 1">
          <a:extLst>
            <a:ext uri="{FF2B5EF4-FFF2-40B4-BE49-F238E27FC236}">
              <a16:creationId xmlns:a16="http://schemas.microsoft.com/office/drawing/2014/main" id="{5964A1F7-4827-4D40-E599-5378B59344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10886</xdr:colOff>
      <xdr:row>0</xdr:row>
      <xdr:rowOff>0</xdr:rowOff>
    </xdr:from>
    <xdr:to>
      <xdr:col>43</xdr:col>
      <xdr:colOff>0</xdr:colOff>
      <xdr:row>67</xdr:row>
      <xdr:rowOff>25400</xdr:rowOff>
    </xdr:to>
    <xdr:sp macro="" textlink="">
      <xdr:nvSpPr>
        <xdr:cNvPr id="2" name="Rectangle 1">
          <a:extLst>
            <a:ext uri="{FF2B5EF4-FFF2-40B4-BE49-F238E27FC236}">
              <a16:creationId xmlns:a16="http://schemas.microsoft.com/office/drawing/2014/main" id="{BCBFEF7E-0FA8-ED59-CC91-1D0B64AF6CF3}"/>
            </a:ext>
          </a:extLst>
        </xdr:cNvPr>
        <xdr:cNvSpPr/>
      </xdr:nvSpPr>
      <xdr:spPr>
        <a:xfrm>
          <a:off x="10886" y="0"/>
          <a:ext cx="26201914" cy="119380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605971</xdr:colOff>
      <xdr:row>0</xdr:row>
      <xdr:rowOff>88900</xdr:rowOff>
    </xdr:from>
    <xdr:to>
      <xdr:col>9</xdr:col>
      <xdr:colOff>96520</xdr:colOff>
      <xdr:row>5</xdr:row>
      <xdr:rowOff>165100</xdr:rowOff>
    </xdr:to>
    <xdr:sp macro="" textlink="">
      <xdr:nvSpPr>
        <xdr:cNvPr id="8" name="Rectangle: Rounded Corners 7">
          <a:extLst>
            <a:ext uri="{FF2B5EF4-FFF2-40B4-BE49-F238E27FC236}">
              <a16:creationId xmlns:a16="http://schemas.microsoft.com/office/drawing/2014/main" id="{C67150C1-7C5F-46E0-AF7B-D1265D7DF90D}"/>
            </a:ext>
          </a:extLst>
        </xdr:cNvPr>
        <xdr:cNvSpPr/>
      </xdr:nvSpPr>
      <xdr:spPr>
        <a:xfrm>
          <a:off x="3653971" y="88900"/>
          <a:ext cx="1928949" cy="965200"/>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1">
              <a:solidFill>
                <a:schemeClr val="tx1"/>
              </a:solidFill>
            </a:rPr>
            <a:t>Total Patients</a:t>
          </a:r>
        </a:p>
      </xdr:txBody>
    </xdr:sp>
    <xdr:clientData/>
  </xdr:twoCellAnchor>
  <xdr:twoCellAnchor>
    <xdr:from>
      <xdr:col>6</xdr:col>
      <xdr:colOff>563154</xdr:colOff>
      <xdr:row>6</xdr:row>
      <xdr:rowOff>113937</xdr:rowOff>
    </xdr:from>
    <xdr:to>
      <xdr:col>8</xdr:col>
      <xdr:colOff>235494</xdr:colOff>
      <xdr:row>9</xdr:row>
      <xdr:rowOff>93617</xdr:rowOff>
    </xdr:to>
    <xdr:sp macro="" textlink="">
      <xdr:nvSpPr>
        <xdr:cNvPr id="10" name="Flowchart: Terminator 9">
          <a:extLst>
            <a:ext uri="{FF2B5EF4-FFF2-40B4-BE49-F238E27FC236}">
              <a16:creationId xmlns:a16="http://schemas.microsoft.com/office/drawing/2014/main" id="{FB4927C5-9412-4520-AC69-7FAEDF8FA14E}"/>
            </a:ext>
          </a:extLst>
        </xdr:cNvPr>
        <xdr:cNvSpPr/>
      </xdr:nvSpPr>
      <xdr:spPr>
        <a:xfrm>
          <a:off x="4220754" y="1180737"/>
          <a:ext cx="89154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i="1" u="none" strike="noStrike">
              <a:solidFill>
                <a:schemeClr val="tx1"/>
              </a:solidFill>
              <a:effectLst/>
              <a:latin typeface="+mn-lt"/>
              <a:ea typeface="+mn-ea"/>
              <a:cs typeface="+mn-cs"/>
            </a:rPr>
            <a:t>500</a:t>
          </a:r>
          <a:r>
            <a:rPr lang="en-IN" sz="1800" b="1" i="1">
              <a:solidFill>
                <a:schemeClr val="tx1"/>
              </a:solidFill>
              <a:effectLst/>
            </a:rPr>
            <a:t> </a:t>
          </a:r>
          <a:endParaRPr lang="en-IN" sz="1800" b="1" i="1">
            <a:solidFill>
              <a:schemeClr val="tx1"/>
            </a:solidFill>
          </a:endParaRPr>
        </a:p>
      </xdr:txBody>
    </xdr:sp>
    <xdr:clientData/>
  </xdr:twoCellAnchor>
  <xdr:twoCellAnchor>
    <xdr:from>
      <xdr:col>9</xdr:col>
      <xdr:colOff>264886</xdr:colOff>
      <xdr:row>0</xdr:row>
      <xdr:rowOff>79828</xdr:rowOff>
    </xdr:from>
    <xdr:to>
      <xdr:col>12</xdr:col>
      <xdr:colOff>150586</xdr:colOff>
      <xdr:row>6</xdr:row>
      <xdr:rowOff>21771</xdr:rowOff>
    </xdr:to>
    <xdr:sp macro="" textlink="">
      <xdr:nvSpPr>
        <xdr:cNvPr id="11" name="Rectangle: Rounded Corners 10">
          <a:extLst>
            <a:ext uri="{FF2B5EF4-FFF2-40B4-BE49-F238E27FC236}">
              <a16:creationId xmlns:a16="http://schemas.microsoft.com/office/drawing/2014/main" id="{5F4204B4-03CC-45A5-A073-D37B461248A0}"/>
            </a:ext>
          </a:extLst>
        </xdr:cNvPr>
        <xdr:cNvSpPr/>
      </xdr:nvSpPr>
      <xdr:spPr>
        <a:xfrm>
          <a:off x="5751286" y="79828"/>
          <a:ext cx="1714500" cy="1008743"/>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1">
              <a:solidFill>
                <a:schemeClr val="bg1"/>
              </a:solidFill>
            </a:rPr>
            <a:t>Total Revenue</a:t>
          </a:r>
        </a:p>
      </xdr:txBody>
    </xdr:sp>
    <xdr:clientData/>
  </xdr:twoCellAnchor>
  <xdr:twoCellAnchor>
    <xdr:from>
      <xdr:col>9</xdr:col>
      <xdr:colOff>448493</xdr:colOff>
      <xdr:row>6</xdr:row>
      <xdr:rowOff>100149</xdr:rowOff>
    </xdr:from>
    <xdr:to>
      <xdr:col>11</xdr:col>
      <xdr:colOff>494213</xdr:colOff>
      <xdr:row>9</xdr:row>
      <xdr:rowOff>79829</xdr:rowOff>
    </xdr:to>
    <xdr:sp macro="" textlink="">
      <xdr:nvSpPr>
        <xdr:cNvPr id="12" name="Flowchart: Terminator 11">
          <a:extLst>
            <a:ext uri="{FF2B5EF4-FFF2-40B4-BE49-F238E27FC236}">
              <a16:creationId xmlns:a16="http://schemas.microsoft.com/office/drawing/2014/main" id="{0EC3351F-4014-4FC8-9824-8F58E3762D57}"/>
            </a:ext>
          </a:extLst>
        </xdr:cNvPr>
        <xdr:cNvSpPr/>
      </xdr:nvSpPr>
      <xdr:spPr>
        <a:xfrm>
          <a:off x="5934893" y="1166949"/>
          <a:ext cx="126492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i="1" u="none" strike="noStrike">
              <a:solidFill>
                <a:schemeClr val="tx1"/>
              </a:solidFill>
              <a:effectLst/>
              <a:latin typeface="+mn-lt"/>
              <a:ea typeface="+mn-ea"/>
              <a:cs typeface="+mn-cs"/>
            </a:rPr>
            <a:t>26753894</a:t>
          </a:r>
          <a:r>
            <a:rPr lang="en-IN" sz="1800" b="1" i="1">
              <a:solidFill>
                <a:schemeClr val="tx1"/>
              </a:solidFill>
              <a:effectLst/>
            </a:rPr>
            <a:t>  </a:t>
          </a:r>
          <a:endParaRPr lang="en-IN" sz="1800" b="1" i="1">
            <a:solidFill>
              <a:schemeClr val="tx1"/>
            </a:solidFill>
          </a:endParaRPr>
        </a:p>
      </xdr:txBody>
    </xdr:sp>
    <xdr:clientData/>
  </xdr:twoCellAnchor>
  <xdr:twoCellAnchor>
    <xdr:from>
      <xdr:col>12</xdr:col>
      <xdr:colOff>299721</xdr:colOff>
      <xdr:row>0</xdr:row>
      <xdr:rowOff>114301</xdr:rowOff>
    </xdr:from>
    <xdr:to>
      <xdr:col>15</xdr:col>
      <xdr:colOff>185421</xdr:colOff>
      <xdr:row>5</xdr:row>
      <xdr:rowOff>157843</xdr:rowOff>
    </xdr:to>
    <xdr:sp macro="" textlink="">
      <xdr:nvSpPr>
        <xdr:cNvPr id="13" name="Rectangle: Rounded Corners 12">
          <a:extLst>
            <a:ext uri="{FF2B5EF4-FFF2-40B4-BE49-F238E27FC236}">
              <a16:creationId xmlns:a16="http://schemas.microsoft.com/office/drawing/2014/main" id="{0112EE2C-0AA2-41C7-9A10-925CAB371284}"/>
            </a:ext>
          </a:extLst>
        </xdr:cNvPr>
        <xdr:cNvSpPr/>
      </xdr:nvSpPr>
      <xdr:spPr>
        <a:xfrm>
          <a:off x="7614921" y="114301"/>
          <a:ext cx="1714500" cy="932542"/>
        </a:xfrm>
        <a:prstGeom prst="round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1">
              <a:solidFill>
                <a:schemeClr val="bg1"/>
              </a:solidFill>
            </a:rPr>
            <a:t>Recovery Rate</a:t>
          </a:r>
        </a:p>
      </xdr:txBody>
    </xdr:sp>
    <xdr:clientData/>
  </xdr:twoCellAnchor>
  <xdr:twoCellAnchor>
    <xdr:from>
      <xdr:col>12</xdr:col>
      <xdr:colOff>587465</xdr:colOff>
      <xdr:row>6</xdr:row>
      <xdr:rowOff>57332</xdr:rowOff>
    </xdr:from>
    <xdr:to>
      <xdr:col>15</xdr:col>
      <xdr:colOff>23585</xdr:colOff>
      <xdr:row>9</xdr:row>
      <xdr:rowOff>37012</xdr:rowOff>
    </xdr:to>
    <xdr:sp macro="" textlink="">
      <xdr:nvSpPr>
        <xdr:cNvPr id="14" name="Flowchart: Terminator 13">
          <a:extLst>
            <a:ext uri="{FF2B5EF4-FFF2-40B4-BE49-F238E27FC236}">
              <a16:creationId xmlns:a16="http://schemas.microsoft.com/office/drawing/2014/main" id="{AD624620-037C-49B8-96C8-9D25B2177A27}"/>
            </a:ext>
          </a:extLst>
        </xdr:cNvPr>
        <xdr:cNvSpPr/>
      </xdr:nvSpPr>
      <xdr:spPr>
        <a:xfrm>
          <a:off x="7902665" y="1124132"/>
          <a:ext cx="126492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1">
              <a:solidFill>
                <a:schemeClr val="tx1"/>
              </a:solidFill>
            </a:rPr>
            <a:t>31.6%</a:t>
          </a:r>
          <a:r>
            <a:rPr lang="en-IN" sz="2000" b="1" i="1">
              <a:solidFill>
                <a:schemeClr val="tx1"/>
              </a:solidFill>
              <a:effectLst/>
            </a:rPr>
            <a:t>   </a:t>
          </a:r>
          <a:endParaRPr lang="en-IN" sz="2000" b="1" i="1">
            <a:solidFill>
              <a:schemeClr val="tx1"/>
            </a:solidFill>
          </a:endParaRPr>
        </a:p>
      </xdr:txBody>
    </xdr:sp>
    <xdr:clientData/>
  </xdr:twoCellAnchor>
  <xdr:twoCellAnchor>
    <xdr:from>
      <xdr:col>15</xdr:col>
      <xdr:colOff>307703</xdr:colOff>
      <xdr:row>0</xdr:row>
      <xdr:rowOff>48986</xdr:rowOff>
    </xdr:from>
    <xdr:to>
      <xdr:col>18</xdr:col>
      <xdr:colOff>193403</xdr:colOff>
      <xdr:row>6</xdr:row>
      <xdr:rowOff>16328</xdr:rowOff>
    </xdr:to>
    <xdr:sp macro="" textlink="">
      <xdr:nvSpPr>
        <xdr:cNvPr id="15" name="Rectangle: Rounded Corners 14">
          <a:extLst>
            <a:ext uri="{FF2B5EF4-FFF2-40B4-BE49-F238E27FC236}">
              <a16:creationId xmlns:a16="http://schemas.microsoft.com/office/drawing/2014/main" id="{FF2292C7-E111-44E9-80F4-BBE68F435161}"/>
            </a:ext>
          </a:extLst>
        </xdr:cNvPr>
        <xdr:cNvSpPr/>
      </xdr:nvSpPr>
      <xdr:spPr>
        <a:xfrm>
          <a:off x="9451703" y="48986"/>
          <a:ext cx="1714500" cy="1034142"/>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0"/>
            <a:t>Critical Patients</a:t>
          </a:r>
          <a:endParaRPr lang="en-IN" sz="2400" b="1" i="0">
            <a:solidFill>
              <a:schemeClr val="bg1"/>
            </a:solidFill>
          </a:endParaRPr>
        </a:p>
      </xdr:txBody>
    </xdr:sp>
    <xdr:clientData/>
  </xdr:twoCellAnchor>
  <xdr:twoCellAnchor>
    <xdr:from>
      <xdr:col>15</xdr:col>
      <xdr:colOff>555171</xdr:colOff>
      <xdr:row>6</xdr:row>
      <xdr:rowOff>95069</xdr:rowOff>
    </xdr:from>
    <xdr:to>
      <xdr:col>17</xdr:col>
      <xdr:colOff>600891</xdr:colOff>
      <xdr:row>9</xdr:row>
      <xdr:rowOff>74749</xdr:rowOff>
    </xdr:to>
    <xdr:sp macro="" textlink="">
      <xdr:nvSpPr>
        <xdr:cNvPr id="16" name="Flowchart: Terminator 15">
          <a:extLst>
            <a:ext uri="{FF2B5EF4-FFF2-40B4-BE49-F238E27FC236}">
              <a16:creationId xmlns:a16="http://schemas.microsoft.com/office/drawing/2014/main" id="{6A7707F1-FB00-43EA-A96C-57D5D7D91A06}"/>
            </a:ext>
          </a:extLst>
        </xdr:cNvPr>
        <xdr:cNvSpPr/>
      </xdr:nvSpPr>
      <xdr:spPr>
        <a:xfrm>
          <a:off x="9699171" y="1161869"/>
          <a:ext cx="126492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1">
              <a:solidFill>
                <a:schemeClr val="tx1"/>
              </a:solidFill>
              <a:effectLst/>
            </a:rPr>
            <a:t>179</a:t>
          </a:r>
          <a:r>
            <a:rPr lang="en-IN" sz="1800" b="1" i="1">
              <a:solidFill>
                <a:schemeClr val="tx1"/>
              </a:solidFill>
              <a:effectLst/>
            </a:rPr>
            <a:t>     </a:t>
          </a:r>
          <a:endParaRPr lang="en-IN" sz="1800" b="1" i="1">
            <a:solidFill>
              <a:schemeClr val="tx1"/>
            </a:solidFill>
          </a:endParaRPr>
        </a:p>
      </xdr:txBody>
    </xdr:sp>
    <xdr:clientData/>
  </xdr:twoCellAnchor>
  <xdr:twoCellAnchor>
    <xdr:from>
      <xdr:col>18</xdr:col>
      <xdr:colOff>294640</xdr:colOff>
      <xdr:row>0</xdr:row>
      <xdr:rowOff>70758</xdr:rowOff>
    </xdr:from>
    <xdr:to>
      <xdr:col>22</xdr:col>
      <xdr:colOff>424180</xdr:colOff>
      <xdr:row>5</xdr:row>
      <xdr:rowOff>150586</xdr:rowOff>
    </xdr:to>
    <xdr:sp macro="" textlink="">
      <xdr:nvSpPr>
        <xdr:cNvPr id="17" name="Rectangle: Rounded Corners 16">
          <a:extLst>
            <a:ext uri="{FF2B5EF4-FFF2-40B4-BE49-F238E27FC236}">
              <a16:creationId xmlns:a16="http://schemas.microsoft.com/office/drawing/2014/main" id="{34C77858-7947-4B31-939F-38D8CC24B239}"/>
            </a:ext>
          </a:extLst>
        </xdr:cNvPr>
        <xdr:cNvSpPr/>
      </xdr:nvSpPr>
      <xdr:spPr>
        <a:xfrm>
          <a:off x="11267440" y="70758"/>
          <a:ext cx="2567940" cy="968828"/>
        </a:xfrm>
        <a:prstGeom prst="roundRect">
          <a:avLst/>
        </a:prstGeom>
        <a:solidFill>
          <a:schemeClr val="bg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1"/>
            <a:t>Avg Length of Stay</a:t>
          </a:r>
          <a:endParaRPr lang="en-IN" sz="2400" b="1" i="1">
            <a:solidFill>
              <a:schemeClr val="bg1"/>
            </a:solidFill>
          </a:endParaRPr>
        </a:p>
      </xdr:txBody>
    </xdr:sp>
    <xdr:clientData/>
  </xdr:twoCellAnchor>
  <xdr:twoCellAnchor>
    <xdr:from>
      <xdr:col>19</xdr:col>
      <xdr:colOff>338545</xdr:colOff>
      <xdr:row>6</xdr:row>
      <xdr:rowOff>67491</xdr:rowOff>
    </xdr:from>
    <xdr:to>
      <xdr:col>21</xdr:col>
      <xdr:colOff>384265</xdr:colOff>
      <xdr:row>9</xdr:row>
      <xdr:rowOff>47171</xdr:rowOff>
    </xdr:to>
    <xdr:sp macro="" textlink="">
      <xdr:nvSpPr>
        <xdr:cNvPr id="18" name="Flowchart: Terminator 17">
          <a:extLst>
            <a:ext uri="{FF2B5EF4-FFF2-40B4-BE49-F238E27FC236}">
              <a16:creationId xmlns:a16="http://schemas.microsoft.com/office/drawing/2014/main" id="{AC580B73-CFF1-467E-A314-41E185E31BE4}"/>
            </a:ext>
          </a:extLst>
        </xdr:cNvPr>
        <xdr:cNvSpPr/>
      </xdr:nvSpPr>
      <xdr:spPr>
        <a:xfrm>
          <a:off x="11920945" y="1134291"/>
          <a:ext cx="126492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1" u="none" strike="noStrike">
              <a:solidFill>
                <a:schemeClr val="tx1"/>
              </a:solidFill>
              <a:effectLst/>
              <a:latin typeface="+mn-lt"/>
              <a:ea typeface="+mn-ea"/>
              <a:cs typeface="+mn-cs"/>
            </a:rPr>
            <a:t>5.49</a:t>
          </a:r>
          <a:r>
            <a:rPr lang="en-IN" sz="2000">
              <a:effectLst/>
            </a:rPr>
            <a:t> </a:t>
          </a:r>
          <a:r>
            <a:rPr lang="en-IN" sz="2000" b="1" i="1">
              <a:solidFill>
                <a:schemeClr val="tx1"/>
              </a:solidFill>
              <a:effectLst/>
            </a:rPr>
            <a:t>   </a:t>
          </a:r>
          <a:r>
            <a:rPr lang="en-IN" sz="1800" b="1" i="1">
              <a:solidFill>
                <a:schemeClr val="tx1"/>
              </a:solidFill>
              <a:effectLst/>
            </a:rPr>
            <a:t>  </a:t>
          </a:r>
          <a:endParaRPr lang="en-IN" sz="1800" b="1" i="1">
            <a:solidFill>
              <a:schemeClr val="tx1"/>
            </a:solidFill>
          </a:endParaRPr>
        </a:p>
      </xdr:txBody>
    </xdr:sp>
    <xdr:clientData/>
  </xdr:twoCellAnchor>
  <xdr:twoCellAnchor>
    <xdr:from>
      <xdr:col>0</xdr:col>
      <xdr:colOff>482600</xdr:colOff>
      <xdr:row>31</xdr:row>
      <xdr:rowOff>70758</xdr:rowOff>
    </xdr:from>
    <xdr:to>
      <xdr:col>15</xdr:col>
      <xdr:colOff>114300</xdr:colOff>
      <xdr:row>62</xdr:row>
      <xdr:rowOff>114300</xdr:rowOff>
    </xdr:to>
    <xdr:graphicFrame macro="">
      <xdr:nvGraphicFramePr>
        <xdr:cNvPr id="19" name="Chart 18">
          <a:extLst>
            <a:ext uri="{FF2B5EF4-FFF2-40B4-BE49-F238E27FC236}">
              <a16:creationId xmlns:a16="http://schemas.microsoft.com/office/drawing/2014/main" id="{12ABC851-8187-4868-AC32-D31D37414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601252</xdr:colOff>
      <xdr:row>0</xdr:row>
      <xdr:rowOff>116114</xdr:rowOff>
    </xdr:from>
    <xdr:to>
      <xdr:col>38</xdr:col>
      <xdr:colOff>419100</xdr:colOff>
      <xdr:row>29</xdr:row>
      <xdr:rowOff>152400</xdr:rowOff>
    </xdr:to>
    <xdr:graphicFrame macro="">
      <xdr:nvGraphicFramePr>
        <xdr:cNvPr id="20" name="Chart 19">
          <a:extLst>
            <a:ext uri="{FF2B5EF4-FFF2-40B4-BE49-F238E27FC236}">
              <a16:creationId xmlns:a16="http://schemas.microsoft.com/office/drawing/2014/main" id="{B9B3C8AF-83C8-4577-AB68-7702BBA512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127000</xdr:colOff>
      <xdr:row>31</xdr:row>
      <xdr:rowOff>43542</xdr:rowOff>
    </xdr:from>
    <xdr:to>
      <xdr:col>38</xdr:col>
      <xdr:colOff>304799</xdr:colOff>
      <xdr:row>65</xdr:row>
      <xdr:rowOff>101599</xdr:rowOff>
    </xdr:to>
    <xdr:graphicFrame macro="">
      <xdr:nvGraphicFramePr>
        <xdr:cNvPr id="21" name="Chart 20">
          <a:extLst>
            <a:ext uri="{FF2B5EF4-FFF2-40B4-BE49-F238E27FC236}">
              <a16:creationId xmlns:a16="http://schemas.microsoft.com/office/drawing/2014/main" id="{554B02AE-BEA7-4DE7-B3A8-F729CAC5FB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326572</xdr:colOff>
      <xdr:row>31</xdr:row>
      <xdr:rowOff>103414</xdr:rowOff>
    </xdr:from>
    <xdr:to>
      <xdr:col>25</xdr:col>
      <xdr:colOff>546100</xdr:colOff>
      <xdr:row>63</xdr:row>
      <xdr:rowOff>127000</xdr:rowOff>
    </xdr:to>
    <xdr:graphicFrame macro="">
      <xdr:nvGraphicFramePr>
        <xdr:cNvPr id="22" name="Chart 21">
          <a:extLst>
            <a:ext uri="{FF2B5EF4-FFF2-40B4-BE49-F238E27FC236}">
              <a16:creationId xmlns:a16="http://schemas.microsoft.com/office/drawing/2014/main" id="{885B40C7-47A9-4CAE-95E5-7F66714770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326570</xdr:colOff>
      <xdr:row>10</xdr:row>
      <xdr:rowOff>154216</xdr:rowOff>
    </xdr:from>
    <xdr:to>
      <xdr:col>9</xdr:col>
      <xdr:colOff>326570</xdr:colOff>
      <xdr:row>16</xdr:row>
      <xdr:rowOff>38100</xdr:rowOff>
    </xdr:to>
    <mc:AlternateContent xmlns:mc="http://schemas.openxmlformats.org/markup-compatibility/2006" xmlns:a14="http://schemas.microsoft.com/office/drawing/2010/main">
      <mc:Choice Requires="a14">
        <xdr:graphicFrame macro="">
          <xdr:nvGraphicFramePr>
            <xdr:cNvPr id="26" name="Gender 1">
              <a:extLst>
                <a:ext uri="{FF2B5EF4-FFF2-40B4-BE49-F238E27FC236}">
                  <a16:creationId xmlns:a16="http://schemas.microsoft.com/office/drawing/2014/main" id="{84E91EAF-0891-4533-B28A-99D7BB95332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3984170" y="1932216"/>
              <a:ext cx="1828800" cy="9506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186871</xdr:colOff>
      <xdr:row>10</xdr:row>
      <xdr:rowOff>72570</xdr:rowOff>
    </xdr:from>
    <xdr:to>
      <xdr:col>25</xdr:col>
      <xdr:colOff>67128</xdr:colOff>
      <xdr:row>16</xdr:row>
      <xdr:rowOff>127000</xdr:rowOff>
    </xdr:to>
    <mc:AlternateContent xmlns:mc="http://schemas.openxmlformats.org/markup-compatibility/2006" xmlns:a14="http://schemas.microsoft.com/office/drawing/2010/main">
      <mc:Choice Requires="a14">
        <xdr:graphicFrame macro="">
          <xdr:nvGraphicFramePr>
            <xdr:cNvPr id="27" name="Department 1">
              <a:extLst>
                <a:ext uri="{FF2B5EF4-FFF2-40B4-BE49-F238E27FC236}">
                  <a16:creationId xmlns:a16="http://schemas.microsoft.com/office/drawing/2014/main" id="{5B69502A-672A-4B6B-A4B8-98B9A23AC5DC}"/>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2988471" y="1850570"/>
              <a:ext cx="2318657" cy="11212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578757</xdr:colOff>
      <xdr:row>10</xdr:row>
      <xdr:rowOff>128815</xdr:rowOff>
    </xdr:from>
    <xdr:to>
      <xdr:col>13</xdr:col>
      <xdr:colOff>208642</xdr:colOff>
      <xdr:row>16</xdr:row>
      <xdr:rowOff>25400</xdr:rowOff>
    </xdr:to>
    <mc:AlternateContent xmlns:mc="http://schemas.openxmlformats.org/markup-compatibility/2006" xmlns:a14="http://schemas.microsoft.com/office/drawing/2010/main">
      <mc:Choice Requires="a14">
        <xdr:graphicFrame macro="">
          <xdr:nvGraphicFramePr>
            <xdr:cNvPr id="28" name="Payment_Type 1">
              <a:extLst>
                <a:ext uri="{FF2B5EF4-FFF2-40B4-BE49-F238E27FC236}">
                  <a16:creationId xmlns:a16="http://schemas.microsoft.com/office/drawing/2014/main" id="{6AC27259-D1E5-4EE4-ABC8-C84E3C9AA658}"/>
                </a:ext>
              </a:extLst>
            </xdr:cNvPr>
            <xdr:cNvGraphicFramePr/>
          </xdr:nvGraphicFramePr>
          <xdr:xfrm>
            <a:off x="0" y="0"/>
            <a:ext cx="0" cy="0"/>
          </xdr:xfrm>
          <a:graphic>
            <a:graphicData uri="http://schemas.microsoft.com/office/drawing/2010/slicer">
              <sle:slicer xmlns:sle="http://schemas.microsoft.com/office/drawing/2010/slicer" name="Payment_Type 1"/>
            </a:graphicData>
          </a:graphic>
        </xdr:graphicFrame>
      </mc:Choice>
      <mc:Fallback xmlns="">
        <xdr:sp macro="" textlink="">
          <xdr:nvSpPr>
            <xdr:cNvPr id="0" name=""/>
            <xdr:cNvSpPr>
              <a:spLocks noTextEdit="1"/>
            </xdr:cNvSpPr>
          </xdr:nvSpPr>
          <xdr:spPr>
            <a:xfrm>
              <a:off x="6065157" y="1906815"/>
              <a:ext cx="2068285" cy="9633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591455</xdr:colOff>
      <xdr:row>10</xdr:row>
      <xdr:rowOff>9072</xdr:rowOff>
    </xdr:from>
    <xdr:to>
      <xdr:col>17</xdr:col>
      <xdr:colOff>308427</xdr:colOff>
      <xdr:row>17</xdr:row>
      <xdr:rowOff>50800</xdr:rowOff>
    </xdr:to>
    <mc:AlternateContent xmlns:mc="http://schemas.openxmlformats.org/markup-compatibility/2006" xmlns:a14="http://schemas.microsoft.com/office/drawing/2010/main">
      <mc:Choice Requires="a14">
        <xdr:graphicFrame macro="">
          <xdr:nvGraphicFramePr>
            <xdr:cNvPr id="29" name="Outcome 1">
              <a:extLst>
                <a:ext uri="{FF2B5EF4-FFF2-40B4-BE49-F238E27FC236}">
                  <a16:creationId xmlns:a16="http://schemas.microsoft.com/office/drawing/2014/main" id="{B3CEBE58-44CE-473E-9D70-C3A567DDF6A7}"/>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8516255" y="1787072"/>
              <a:ext cx="2155372" cy="12863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468087</xdr:colOff>
      <xdr:row>10</xdr:row>
      <xdr:rowOff>52616</xdr:rowOff>
    </xdr:from>
    <xdr:to>
      <xdr:col>21</xdr:col>
      <xdr:colOff>87087</xdr:colOff>
      <xdr:row>17</xdr:row>
      <xdr:rowOff>0</xdr:rowOff>
    </xdr:to>
    <mc:AlternateContent xmlns:mc="http://schemas.openxmlformats.org/markup-compatibility/2006" xmlns:a14="http://schemas.microsoft.com/office/drawing/2010/main">
      <mc:Choice Requires="a14">
        <xdr:graphicFrame macro="">
          <xdr:nvGraphicFramePr>
            <xdr:cNvPr id="30" name="Doctor 1">
              <a:extLst>
                <a:ext uri="{FF2B5EF4-FFF2-40B4-BE49-F238E27FC236}">
                  <a16:creationId xmlns:a16="http://schemas.microsoft.com/office/drawing/2014/main" id="{99D61431-4C3A-46D4-9A98-6CC6A8C5300F}"/>
                </a:ext>
              </a:extLst>
            </xdr:cNvPr>
            <xdr:cNvGraphicFramePr/>
          </xdr:nvGraphicFramePr>
          <xdr:xfrm>
            <a:off x="0" y="0"/>
            <a:ext cx="0" cy="0"/>
          </xdr:xfrm>
          <a:graphic>
            <a:graphicData uri="http://schemas.microsoft.com/office/drawing/2010/slicer">
              <sle:slicer xmlns:sle="http://schemas.microsoft.com/office/drawing/2010/slicer" name="Doctor 1"/>
            </a:graphicData>
          </a:graphic>
        </xdr:graphicFrame>
      </mc:Choice>
      <mc:Fallback xmlns="">
        <xdr:sp macro="" textlink="">
          <xdr:nvSpPr>
            <xdr:cNvPr id="0" name=""/>
            <xdr:cNvSpPr>
              <a:spLocks noTextEdit="1"/>
            </xdr:cNvSpPr>
          </xdr:nvSpPr>
          <xdr:spPr>
            <a:xfrm>
              <a:off x="10831287" y="1830616"/>
              <a:ext cx="2057400" cy="11919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152400</xdr:colOff>
      <xdr:row>4</xdr:row>
      <xdr:rowOff>141514</xdr:rowOff>
    </xdr:from>
    <xdr:to>
      <xdr:col>6</xdr:col>
      <xdr:colOff>117929</xdr:colOff>
      <xdr:row>28</xdr:row>
      <xdr:rowOff>0</xdr:rowOff>
    </xdr:to>
    <xdr:sp macro="" textlink="">
      <xdr:nvSpPr>
        <xdr:cNvPr id="31" name="Rectangle: Rounded Corners 30">
          <a:extLst>
            <a:ext uri="{FF2B5EF4-FFF2-40B4-BE49-F238E27FC236}">
              <a16:creationId xmlns:a16="http://schemas.microsoft.com/office/drawing/2014/main" id="{6C8FC7B0-1F6A-394E-19D8-E05FBD3B520E}"/>
            </a:ext>
          </a:extLst>
        </xdr:cNvPr>
        <xdr:cNvSpPr/>
      </xdr:nvSpPr>
      <xdr:spPr>
        <a:xfrm>
          <a:off x="152400" y="852714"/>
          <a:ext cx="3623129" cy="4125686"/>
        </a:xfrm>
        <a:prstGeom prst="round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4400" b="1" i="1">
              <a:solidFill>
                <a:schemeClr val="tx1"/>
              </a:solidFill>
            </a:rPr>
            <a:t>Healthcare Performance Analytics Dashboard – 2025</a:t>
          </a:r>
          <a:endParaRPr lang="en-IN" sz="4400" b="1" i="1" baseline="0">
            <a:solidFill>
              <a:schemeClr val="tx1"/>
            </a:solidFill>
          </a:endParaRPr>
        </a:p>
        <a:p>
          <a:pPr algn="l"/>
          <a:endParaRPr lang="en-IN" sz="4000" b="1" i="1">
            <a:solidFill>
              <a:schemeClr val="tx1"/>
            </a:solidFill>
          </a:endParaRPr>
        </a:p>
      </xdr:txBody>
    </xdr:sp>
    <xdr:clientData/>
  </xdr:twoCellAnchor>
  <xdr:twoCellAnchor editAs="oneCell">
    <xdr:from>
      <xdr:col>16</xdr:col>
      <xdr:colOff>268514</xdr:colOff>
      <xdr:row>17</xdr:row>
      <xdr:rowOff>136071</xdr:rowOff>
    </xdr:from>
    <xdr:to>
      <xdr:col>25</xdr:col>
      <xdr:colOff>76200</xdr:colOff>
      <xdr:row>28</xdr:row>
      <xdr:rowOff>1816</xdr:rowOff>
    </xdr:to>
    <mc:AlternateContent xmlns:mc="http://schemas.openxmlformats.org/markup-compatibility/2006" xmlns:tsle="http://schemas.microsoft.com/office/drawing/2012/timeslicer">
      <mc:Choice Requires="tsle">
        <xdr:graphicFrame macro="">
          <xdr:nvGraphicFramePr>
            <xdr:cNvPr id="34" name="Discharge_Date 1">
              <a:extLst>
                <a:ext uri="{FF2B5EF4-FFF2-40B4-BE49-F238E27FC236}">
                  <a16:creationId xmlns:a16="http://schemas.microsoft.com/office/drawing/2014/main" id="{35EFB215-9B48-435A-9174-9815C6DFD864}"/>
                </a:ext>
              </a:extLst>
            </xdr:cNvPr>
            <xdr:cNvGraphicFramePr/>
          </xdr:nvGraphicFramePr>
          <xdr:xfrm>
            <a:off x="0" y="0"/>
            <a:ext cx="0" cy="0"/>
          </xdr:xfrm>
          <a:graphic>
            <a:graphicData uri="http://schemas.microsoft.com/office/drawing/2012/timeslicer">
              <tsle:timeslicer name="Discharge_Date 1"/>
            </a:graphicData>
          </a:graphic>
        </xdr:graphicFrame>
      </mc:Choice>
      <mc:Fallback xmlns="">
        <xdr:sp macro="" textlink="">
          <xdr:nvSpPr>
            <xdr:cNvPr id="0" name=""/>
            <xdr:cNvSpPr>
              <a:spLocks noTextEdit="1"/>
            </xdr:cNvSpPr>
          </xdr:nvSpPr>
          <xdr:spPr>
            <a:xfrm>
              <a:off x="10022114" y="3158671"/>
              <a:ext cx="5294086" cy="182154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6</xdr:col>
      <xdr:colOff>410028</xdr:colOff>
      <xdr:row>17</xdr:row>
      <xdr:rowOff>87084</xdr:rowOff>
    </xdr:from>
    <xdr:to>
      <xdr:col>15</xdr:col>
      <xdr:colOff>317499</xdr:colOff>
      <xdr:row>27</xdr:row>
      <xdr:rowOff>76199</xdr:rowOff>
    </xdr:to>
    <mc:AlternateContent xmlns:mc="http://schemas.openxmlformats.org/markup-compatibility/2006" xmlns:tsle="http://schemas.microsoft.com/office/drawing/2012/timeslicer">
      <mc:Choice Requires="tsle">
        <xdr:graphicFrame macro="">
          <xdr:nvGraphicFramePr>
            <xdr:cNvPr id="35" name="Admission_Date 1">
              <a:extLst>
                <a:ext uri="{FF2B5EF4-FFF2-40B4-BE49-F238E27FC236}">
                  <a16:creationId xmlns:a16="http://schemas.microsoft.com/office/drawing/2014/main" id="{1946C50F-5B13-415D-8CA1-1290D6C782B2}"/>
                </a:ext>
              </a:extLst>
            </xdr:cNvPr>
            <xdr:cNvGraphicFramePr/>
          </xdr:nvGraphicFramePr>
          <xdr:xfrm>
            <a:off x="0" y="0"/>
            <a:ext cx="0" cy="0"/>
          </xdr:xfrm>
          <a:graphic>
            <a:graphicData uri="http://schemas.microsoft.com/office/drawing/2012/timeslicer">
              <tsle:timeslicer name="Admission_Date 1"/>
            </a:graphicData>
          </a:graphic>
        </xdr:graphicFrame>
      </mc:Choice>
      <mc:Fallback xmlns="">
        <xdr:sp macro="" textlink="">
          <xdr:nvSpPr>
            <xdr:cNvPr id="0" name=""/>
            <xdr:cNvSpPr>
              <a:spLocks noTextEdit="1"/>
            </xdr:cNvSpPr>
          </xdr:nvSpPr>
          <xdr:spPr>
            <a:xfrm>
              <a:off x="4067628" y="3109684"/>
              <a:ext cx="5393871" cy="176711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22</xdr:col>
      <xdr:colOff>455386</xdr:colOff>
      <xdr:row>0</xdr:row>
      <xdr:rowOff>63500</xdr:rowOff>
    </xdr:from>
    <xdr:to>
      <xdr:col>26</xdr:col>
      <xdr:colOff>584926</xdr:colOff>
      <xdr:row>5</xdr:row>
      <xdr:rowOff>143328</xdr:rowOff>
    </xdr:to>
    <xdr:sp macro="" textlink="">
      <xdr:nvSpPr>
        <xdr:cNvPr id="36" name="Rectangle: Rounded Corners 35">
          <a:extLst>
            <a:ext uri="{FF2B5EF4-FFF2-40B4-BE49-F238E27FC236}">
              <a16:creationId xmlns:a16="http://schemas.microsoft.com/office/drawing/2014/main" id="{D4659624-C5B1-49AC-9EC6-4A89E4D8D50F}"/>
            </a:ext>
          </a:extLst>
        </xdr:cNvPr>
        <xdr:cNvSpPr/>
      </xdr:nvSpPr>
      <xdr:spPr>
        <a:xfrm>
          <a:off x="13866586" y="63500"/>
          <a:ext cx="2567940" cy="968828"/>
        </a:xfrm>
        <a:prstGeom prst="roundRect">
          <a:avLst/>
        </a:prstGeom>
        <a:solidFill>
          <a:srgbClr val="FFC000"/>
        </a:solidFill>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r>
            <a:rPr lang="en-IN" sz="2400" b="1" i="1"/>
            <a:t>Revenue per Patient</a:t>
          </a:r>
          <a:endParaRPr lang="en-IN" sz="2400" b="1" i="1">
            <a:solidFill>
              <a:schemeClr val="bg1"/>
            </a:solidFill>
          </a:endParaRPr>
        </a:p>
      </xdr:txBody>
    </xdr:sp>
    <xdr:clientData/>
  </xdr:twoCellAnchor>
  <xdr:twoCellAnchor>
    <xdr:from>
      <xdr:col>22</xdr:col>
      <xdr:colOff>546100</xdr:colOff>
      <xdr:row>6</xdr:row>
      <xdr:rowOff>25400</xdr:rowOff>
    </xdr:from>
    <xdr:to>
      <xdr:col>26</xdr:col>
      <xdr:colOff>520700</xdr:colOff>
      <xdr:row>9</xdr:row>
      <xdr:rowOff>5080</xdr:rowOff>
    </xdr:to>
    <xdr:sp macro="" textlink="">
      <xdr:nvSpPr>
        <xdr:cNvPr id="37" name="Flowchart: Terminator 36">
          <a:extLst>
            <a:ext uri="{FF2B5EF4-FFF2-40B4-BE49-F238E27FC236}">
              <a16:creationId xmlns:a16="http://schemas.microsoft.com/office/drawing/2014/main" id="{6736D335-FF5F-4FA1-9DF4-99889288D48D}"/>
            </a:ext>
          </a:extLst>
        </xdr:cNvPr>
        <xdr:cNvSpPr/>
      </xdr:nvSpPr>
      <xdr:spPr>
        <a:xfrm>
          <a:off x="13957300" y="1092200"/>
          <a:ext cx="2413000" cy="513080"/>
        </a:xfrm>
        <a:prstGeom prst="flowChartTerminator">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1">
              <a:solidFill>
                <a:schemeClr val="tx1"/>
              </a:solidFill>
              <a:effectLst/>
            </a:rPr>
            <a:t>₹53,507.79       </a:t>
          </a:r>
          <a:endParaRPr lang="en-IN" sz="2000" b="1" i="1">
            <a:solidFill>
              <a:schemeClr val="tx1"/>
            </a:solidFill>
          </a:endParaRPr>
        </a:p>
      </xdr:txBody>
    </xdr:sp>
    <xdr:clientData/>
  </xdr:twoCellAnchor>
  <xdr:twoCellAnchor editAs="oneCell">
    <xdr:from>
      <xdr:col>11</xdr:col>
      <xdr:colOff>0</xdr:colOff>
      <xdr:row>50</xdr:row>
      <xdr:rowOff>0</xdr:rowOff>
    </xdr:from>
    <xdr:to>
      <xdr:col>15</xdr:col>
      <xdr:colOff>274320</xdr:colOff>
      <xdr:row>51</xdr:row>
      <xdr:rowOff>7620</xdr:rowOff>
    </xdr:to>
    <xdr:pic>
      <xdr:nvPicPr>
        <xdr:cNvPr id="38" name="Picture 37">
          <a:extLst>
            <a:ext uri="{FF2B5EF4-FFF2-40B4-BE49-F238E27FC236}">
              <a16:creationId xmlns:a16="http://schemas.microsoft.com/office/drawing/2014/main" id="{349FB6E7-5CBD-9B0D-BE39-9D1BDEDA18FC}"/>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705600" y="9144000"/>
          <a:ext cx="27127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77.815475462965" createdVersion="8" refreshedVersion="8" minRefreshableVersion="3" recordCount="500" xr:uid="{7B773CCE-77DB-4D4F-9ED5-17FB5DD95825}">
  <cacheSource type="worksheet">
    <worksheetSource name="Table1"/>
  </cacheSource>
  <cacheFields count="15">
    <cacheField name="Patient_ID" numFmtId="0">
      <sharedItems count="500">
        <s v="P0001"/>
        <s v="P0002"/>
        <s v="P0003"/>
        <s v="P0004"/>
        <s v="P0005"/>
        <s v="P0006"/>
        <s v="P0007"/>
        <s v="P0008"/>
        <s v="P0009"/>
        <s v="P0010"/>
        <s v="P0011"/>
        <s v="P0012"/>
        <s v="P0013"/>
        <s v="P0014"/>
        <s v="P0015"/>
        <s v="P0016"/>
        <s v="P0017"/>
        <s v="P0018"/>
        <s v="P0019"/>
        <s v="P0020"/>
        <s v="P0021"/>
        <s v="P0022"/>
        <s v="P0023"/>
        <s v="P0024"/>
        <s v="P0025"/>
        <s v="P0026"/>
        <s v="P0027"/>
        <s v="P0028"/>
        <s v="P0029"/>
        <s v="P0030"/>
        <s v="P0031"/>
        <s v="P0032"/>
        <s v="P0033"/>
        <s v="P0034"/>
        <s v="P0035"/>
        <s v="P0036"/>
        <s v="P0037"/>
        <s v="P0038"/>
        <s v="P0039"/>
        <s v="P0040"/>
        <s v="P0041"/>
        <s v="P0042"/>
        <s v="P0043"/>
        <s v="P0044"/>
        <s v="P0045"/>
        <s v="P0046"/>
        <s v="P0047"/>
        <s v="P0048"/>
        <s v="P0049"/>
        <s v="P0050"/>
        <s v="P0051"/>
        <s v="P0052"/>
        <s v="P0053"/>
        <s v="P0054"/>
        <s v="P0055"/>
        <s v="P0056"/>
        <s v="P0057"/>
        <s v="P0058"/>
        <s v="P0059"/>
        <s v="P0060"/>
        <s v="P0061"/>
        <s v="P0062"/>
        <s v="P0063"/>
        <s v="P0064"/>
        <s v="P0065"/>
        <s v="P0066"/>
        <s v="P0067"/>
        <s v="P0068"/>
        <s v="P0069"/>
        <s v="P0070"/>
        <s v="P0071"/>
        <s v="P0072"/>
        <s v="P0073"/>
        <s v="P0074"/>
        <s v="P0075"/>
        <s v="P0076"/>
        <s v="P0077"/>
        <s v="P0078"/>
        <s v="P0079"/>
        <s v="P0080"/>
        <s v="P0081"/>
        <s v="P0082"/>
        <s v="P0083"/>
        <s v="P0084"/>
        <s v="P0085"/>
        <s v="P0086"/>
        <s v="P0087"/>
        <s v="P0088"/>
        <s v="P0089"/>
        <s v="P0090"/>
        <s v="P0091"/>
        <s v="P0092"/>
        <s v="P0093"/>
        <s v="P0094"/>
        <s v="P0095"/>
        <s v="P0096"/>
        <s v="P0097"/>
        <s v="P0098"/>
        <s v="P0099"/>
        <s v="P0100"/>
        <s v="P0101"/>
        <s v="P0102"/>
        <s v="P0103"/>
        <s v="P0104"/>
        <s v="P0105"/>
        <s v="P0106"/>
        <s v="P0107"/>
        <s v="P0108"/>
        <s v="P0109"/>
        <s v="P0110"/>
        <s v="P0111"/>
        <s v="P0112"/>
        <s v="P0113"/>
        <s v="P0114"/>
        <s v="P0115"/>
        <s v="P0116"/>
        <s v="P0117"/>
        <s v="P0118"/>
        <s v="P0119"/>
        <s v="P0120"/>
        <s v="P0121"/>
        <s v="P0122"/>
        <s v="P0123"/>
        <s v="P0124"/>
        <s v="P0125"/>
        <s v="P0126"/>
        <s v="P0127"/>
        <s v="P0128"/>
        <s v="P0129"/>
        <s v="P0130"/>
        <s v="P0131"/>
        <s v="P0132"/>
        <s v="P0133"/>
        <s v="P0134"/>
        <s v="P0135"/>
        <s v="P0136"/>
        <s v="P0137"/>
        <s v="P0138"/>
        <s v="P0139"/>
        <s v="P0140"/>
        <s v="P0141"/>
        <s v="P0142"/>
        <s v="P0143"/>
        <s v="P0144"/>
        <s v="P0145"/>
        <s v="P0146"/>
        <s v="P0147"/>
        <s v="P0148"/>
        <s v="P0149"/>
        <s v="P0150"/>
        <s v="P0151"/>
        <s v="P0152"/>
        <s v="P0153"/>
        <s v="P0154"/>
        <s v="P0155"/>
        <s v="P0156"/>
        <s v="P0157"/>
        <s v="P0158"/>
        <s v="P0159"/>
        <s v="P0160"/>
        <s v="P0161"/>
        <s v="P0162"/>
        <s v="P0163"/>
        <s v="P0164"/>
        <s v="P0165"/>
        <s v="P0166"/>
        <s v="P0167"/>
        <s v="P0168"/>
        <s v="P0169"/>
        <s v="P0170"/>
        <s v="P0171"/>
        <s v="P0172"/>
        <s v="P0173"/>
        <s v="P0174"/>
        <s v="P0175"/>
        <s v="P0176"/>
        <s v="P0177"/>
        <s v="P0178"/>
        <s v="P0179"/>
        <s v="P0180"/>
        <s v="P0181"/>
        <s v="P0182"/>
        <s v="P0183"/>
        <s v="P0184"/>
        <s v="P0185"/>
        <s v="P0186"/>
        <s v="P0187"/>
        <s v="P0188"/>
        <s v="P0189"/>
        <s v="P0190"/>
        <s v="P0191"/>
        <s v="P0192"/>
        <s v="P0193"/>
        <s v="P0194"/>
        <s v="P0195"/>
        <s v="P0196"/>
        <s v="P0197"/>
        <s v="P0198"/>
        <s v="P0199"/>
        <s v="P0200"/>
        <s v="P0201"/>
        <s v="P0202"/>
        <s v="P0203"/>
        <s v="P0204"/>
        <s v="P0205"/>
        <s v="P0206"/>
        <s v="P0207"/>
        <s v="P0208"/>
        <s v="P0209"/>
        <s v="P0210"/>
        <s v="P0211"/>
        <s v="P0212"/>
        <s v="P0213"/>
        <s v="P0214"/>
        <s v="P0215"/>
        <s v="P0216"/>
        <s v="P0217"/>
        <s v="P0218"/>
        <s v="P0219"/>
        <s v="P0220"/>
        <s v="P0221"/>
        <s v="P0222"/>
        <s v="P0223"/>
        <s v="P0224"/>
        <s v="P0225"/>
        <s v="P0226"/>
        <s v="P0227"/>
        <s v="P0228"/>
        <s v="P0229"/>
        <s v="P0230"/>
        <s v="P0231"/>
        <s v="P0232"/>
        <s v="P0233"/>
        <s v="P0234"/>
        <s v="P0235"/>
        <s v="P0236"/>
        <s v="P0237"/>
        <s v="P0238"/>
        <s v="P0239"/>
        <s v="P0240"/>
        <s v="P0241"/>
        <s v="P0242"/>
        <s v="P0243"/>
        <s v="P0244"/>
        <s v="P0245"/>
        <s v="P0246"/>
        <s v="P0247"/>
        <s v="P0248"/>
        <s v="P0249"/>
        <s v="P0250"/>
        <s v="P0251"/>
        <s v="P0252"/>
        <s v="P0253"/>
        <s v="P0254"/>
        <s v="P0255"/>
        <s v="P0256"/>
        <s v="P0257"/>
        <s v="P0258"/>
        <s v="P0259"/>
        <s v="P0260"/>
        <s v="P0261"/>
        <s v="P0262"/>
        <s v="P0263"/>
        <s v="P0264"/>
        <s v="P0265"/>
        <s v="P0266"/>
        <s v="P0267"/>
        <s v="P0268"/>
        <s v="P0269"/>
        <s v="P0270"/>
        <s v="P0271"/>
        <s v="P0272"/>
        <s v="P0273"/>
        <s v="P0274"/>
        <s v="P0275"/>
        <s v="P0276"/>
        <s v="P0277"/>
        <s v="P0278"/>
        <s v="P0279"/>
        <s v="P0280"/>
        <s v="P0281"/>
        <s v="P0282"/>
        <s v="P0283"/>
        <s v="P0284"/>
        <s v="P0285"/>
        <s v="P0286"/>
        <s v="P0287"/>
        <s v="P0288"/>
        <s v="P0289"/>
        <s v="P0290"/>
        <s v="P0291"/>
        <s v="P0292"/>
        <s v="P0293"/>
        <s v="P0294"/>
        <s v="P0295"/>
        <s v="P0296"/>
        <s v="P0297"/>
        <s v="P0298"/>
        <s v="P0299"/>
        <s v="P0300"/>
        <s v="P0301"/>
        <s v="P0302"/>
        <s v="P0303"/>
        <s v="P0304"/>
        <s v="P0305"/>
        <s v="P0306"/>
        <s v="P0307"/>
        <s v="P0308"/>
        <s v="P0309"/>
        <s v="P0310"/>
        <s v="P0311"/>
        <s v="P0312"/>
        <s v="P0313"/>
        <s v="P0314"/>
        <s v="P0315"/>
        <s v="P0316"/>
        <s v="P0317"/>
        <s v="P0318"/>
        <s v="P0319"/>
        <s v="P0320"/>
        <s v="P0321"/>
        <s v="P0322"/>
        <s v="P0323"/>
        <s v="P0324"/>
        <s v="P0325"/>
        <s v="P0326"/>
        <s v="P0327"/>
        <s v="P0328"/>
        <s v="P0329"/>
        <s v="P0330"/>
        <s v="P0331"/>
        <s v="P0332"/>
        <s v="P0333"/>
        <s v="P0334"/>
        <s v="P0335"/>
        <s v="P0336"/>
        <s v="P0337"/>
        <s v="P0338"/>
        <s v="P0339"/>
        <s v="P0340"/>
        <s v="P0341"/>
        <s v="P0342"/>
        <s v="P0343"/>
        <s v="P0344"/>
        <s v="P0345"/>
        <s v="P0346"/>
        <s v="P0347"/>
        <s v="P0348"/>
        <s v="P0349"/>
        <s v="P0350"/>
        <s v="P0351"/>
        <s v="P0352"/>
        <s v="P0353"/>
        <s v="P0354"/>
        <s v="P0355"/>
        <s v="P0356"/>
        <s v="P0357"/>
        <s v="P0358"/>
        <s v="P0359"/>
        <s v="P0360"/>
        <s v="P0361"/>
        <s v="P0362"/>
        <s v="P0363"/>
        <s v="P0364"/>
        <s v="P0365"/>
        <s v="P0366"/>
        <s v="P0367"/>
        <s v="P0368"/>
        <s v="P0369"/>
        <s v="P0370"/>
        <s v="P0371"/>
        <s v="P0372"/>
        <s v="P0373"/>
        <s v="P0374"/>
        <s v="P0375"/>
        <s v="P0376"/>
        <s v="P0377"/>
        <s v="P0378"/>
        <s v="P0379"/>
        <s v="P0380"/>
        <s v="P0381"/>
        <s v="P0382"/>
        <s v="P0383"/>
        <s v="P0384"/>
        <s v="P0385"/>
        <s v="P0386"/>
        <s v="P0387"/>
        <s v="P0388"/>
        <s v="P0389"/>
        <s v="P0390"/>
        <s v="P0391"/>
        <s v="P0392"/>
        <s v="P0393"/>
        <s v="P0394"/>
        <s v="P0395"/>
        <s v="P0396"/>
        <s v="P0397"/>
        <s v="P0398"/>
        <s v="P0399"/>
        <s v="P0400"/>
        <s v="P0401"/>
        <s v="P0402"/>
        <s v="P0403"/>
        <s v="P0404"/>
        <s v="P0405"/>
        <s v="P0406"/>
        <s v="P0407"/>
        <s v="P0408"/>
        <s v="P0409"/>
        <s v="P0410"/>
        <s v="P0411"/>
        <s v="P0412"/>
        <s v="P0413"/>
        <s v="P0414"/>
        <s v="P0415"/>
        <s v="P0416"/>
        <s v="P0417"/>
        <s v="P0418"/>
        <s v="P0419"/>
        <s v="P0420"/>
        <s v="P0421"/>
        <s v="P0422"/>
        <s v="P0423"/>
        <s v="P0424"/>
        <s v="P0425"/>
        <s v="P0426"/>
        <s v="P0427"/>
        <s v="P0428"/>
        <s v="P0429"/>
        <s v="P0430"/>
        <s v="P0431"/>
        <s v="P0432"/>
        <s v="P0433"/>
        <s v="P0434"/>
        <s v="P0435"/>
        <s v="P0436"/>
        <s v="P0437"/>
        <s v="P0438"/>
        <s v="P0439"/>
        <s v="P0440"/>
        <s v="P0441"/>
        <s v="P0442"/>
        <s v="P0443"/>
        <s v="P0444"/>
        <s v="P0445"/>
        <s v="P0446"/>
        <s v="P0447"/>
        <s v="P0448"/>
        <s v="P0449"/>
        <s v="P0450"/>
        <s v="P0451"/>
        <s v="P0452"/>
        <s v="P0453"/>
        <s v="P0454"/>
        <s v="P0455"/>
        <s v="P0456"/>
        <s v="P0457"/>
        <s v="P0458"/>
        <s v="P0459"/>
        <s v="P0460"/>
        <s v="P0461"/>
        <s v="P0462"/>
        <s v="P0463"/>
        <s v="P0464"/>
        <s v="P0465"/>
        <s v="P0466"/>
        <s v="P0467"/>
        <s v="P0468"/>
        <s v="P0469"/>
        <s v="P0470"/>
        <s v="P0471"/>
        <s v="P0472"/>
        <s v="P0473"/>
        <s v="P0474"/>
        <s v="P0475"/>
        <s v="P0476"/>
        <s v="P0477"/>
        <s v="P0478"/>
        <s v="P0479"/>
        <s v="P0480"/>
        <s v="P0481"/>
        <s v="P0482"/>
        <s v="P0483"/>
        <s v="P0484"/>
        <s v="P0485"/>
        <s v="P0486"/>
        <s v="P0487"/>
        <s v="P0488"/>
        <s v="P0489"/>
        <s v="P0490"/>
        <s v="P0491"/>
        <s v="P0492"/>
        <s v="P0493"/>
        <s v="P0494"/>
        <s v="P0495"/>
        <s v="P0496"/>
        <s v="P0497"/>
        <s v="P0498"/>
        <s v="P0499"/>
        <s v="P0500"/>
      </sharedItems>
    </cacheField>
    <cacheField name="Age" numFmtId="0">
      <sharedItems containsSemiMixedTypes="0" containsString="0" containsNumber="1" containsInteger="1" minValue="18" maxValue="80"/>
    </cacheField>
    <cacheField name="Gender" numFmtId="0">
      <sharedItems count="2">
        <s v="Male"/>
        <s v="Female"/>
      </sharedItems>
    </cacheField>
    <cacheField name="Admission_Date" numFmtId="14">
      <sharedItems containsSemiMixedTypes="0" containsNonDate="0" containsDate="1" containsString="0" minDate="2025-01-02T00:00:00" maxDate="2026-01-01T00:00:00" count="270">
        <d v="2025-09-07T00:00:00"/>
        <d v="2025-04-22T00:00:00"/>
        <d v="2025-01-21T00:00:00"/>
        <d v="2025-02-26T00:00:00"/>
        <d v="2025-09-06T00:00:00"/>
        <d v="2025-05-25T00:00:00"/>
        <d v="2025-05-05T00:00:00"/>
        <d v="2025-10-20T00:00:00"/>
        <d v="2025-03-10T00:00:00"/>
        <d v="2025-05-17T00:00:00"/>
        <d v="2025-05-09T00:00:00"/>
        <d v="2025-05-08T00:00:00"/>
        <d v="2025-07-09T00:00:00"/>
        <d v="2025-04-16T00:00:00"/>
        <d v="2025-04-30T00:00:00"/>
        <d v="2025-06-26T00:00:00"/>
        <d v="2025-08-18T00:00:00"/>
        <d v="2025-06-12T00:00:00"/>
        <d v="2025-06-11T00:00:00"/>
        <d v="2025-07-19T00:00:00"/>
        <d v="2025-05-11T00:00:00"/>
        <d v="2025-01-29T00:00:00"/>
        <d v="2025-05-24T00:00:00"/>
        <d v="2025-11-14T00:00:00"/>
        <d v="2025-11-23T00:00:00"/>
        <d v="2025-01-02T00:00:00"/>
        <d v="2025-12-09T00:00:00"/>
        <d v="2025-05-14T00:00:00"/>
        <d v="2025-08-17T00:00:00"/>
        <d v="2025-12-02T00:00:00"/>
        <d v="2025-06-20T00:00:00"/>
        <d v="2025-05-18T00:00:00"/>
        <d v="2025-04-26T00:00:00"/>
        <d v="2025-12-15T00:00:00"/>
        <d v="2025-03-02T00:00:00"/>
        <d v="2025-02-14T00:00:00"/>
        <d v="2025-08-31T00:00:00"/>
        <d v="2025-10-19T00:00:00"/>
        <d v="2025-12-01T00:00:00"/>
        <d v="2025-05-21T00:00:00"/>
        <d v="2025-11-09T00:00:00"/>
        <d v="2025-06-16T00:00:00"/>
        <d v="2025-04-10T00:00:00"/>
        <d v="2025-06-17T00:00:00"/>
        <d v="2025-08-15T00:00:00"/>
        <d v="2025-09-19T00:00:00"/>
        <d v="2025-03-23T00:00:00"/>
        <d v="2025-09-22T00:00:00"/>
        <d v="2025-08-03T00:00:00"/>
        <d v="2025-08-07T00:00:00"/>
        <d v="2025-11-03T00:00:00"/>
        <d v="2025-05-22T00:00:00"/>
        <d v="2025-11-02T00:00:00"/>
        <d v="2025-01-07T00:00:00"/>
        <d v="2025-09-28T00:00:00"/>
        <d v="2025-07-05T00:00:00"/>
        <d v="2025-11-05T00:00:00"/>
        <d v="2025-09-02T00:00:00"/>
        <d v="2025-07-29T00:00:00"/>
        <d v="2025-12-12T00:00:00"/>
        <d v="2025-09-11T00:00:00"/>
        <d v="2025-03-20T00:00:00"/>
        <d v="2025-04-01T00:00:00"/>
        <d v="2025-08-27T00:00:00"/>
        <d v="2025-08-28T00:00:00"/>
        <d v="2025-01-13T00:00:00"/>
        <d v="2025-10-03T00:00:00"/>
        <d v="2025-12-06T00:00:00"/>
        <d v="2025-03-04T00:00:00"/>
        <d v="2025-03-14T00:00:00"/>
        <d v="2025-08-26T00:00:00"/>
        <d v="2025-07-15T00:00:00"/>
        <d v="2025-03-28T00:00:00"/>
        <d v="2025-12-08T00:00:00"/>
        <d v="2025-08-29T00:00:00"/>
        <d v="2025-03-07T00:00:00"/>
        <d v="2025-05-23T00:00:00"/>
        <d v="2025-01-06T00:00:00"/>
        <d v="2025-05-28T00:00:00"/>
        <d v="2025-09-29T00:00:00"/>
        <d v="2025-05-27T00:00:00"/>
        <d v="2025-11-13T00:00:00"/>
        <d v="2025-06-25T00:00:00"/>
        <d v="2025-11-10T00:00:00"/>
        <d v="2025-09-01T00:00:00"/>
        <d v="2025-10-22T00:00:00"/>
        <d v="2025-12-11T00:00:00"/>
        <d v="2025-01-03T00:00:00"/>
        <d v="2025-11-16T00:00:00"/>
        <d v="2025-03-26T00:00:00"/>
        <d v="2025-02-02T00:00:00"/>
        <d v="2025-01-26T00:00:00"/>
        <d v="2025-02-23T00:00:00"/>
        <d v="2025-06-09T00:00:00"/>
        <d v="2025-04-20T00:00:00"/>
        <d v="2025-09-27T00:00:00"/>
        <d v="2025-06-10T00:00:00"/>
        <d v="2025-02-21T00:00:00"/>
        <d v="2025-01-04T00:00:00"/>
        <d v="2025-03-29T00:00:00"/>
        <d v="2025-06-28T00:00:00"/>
        <d v="2025-11-30T00:00:00"/>
        <d v="2025-02-16T00:00:00"/>
        <d v="2025-08-08T00:00:00"/>
        <d v="2025-12-10T00:00:00"/>
        <d v="2025-02-18T00:00:00"/>
        <d v="2025-08-24T00:00:00"/>
        <d v="2025-07-26T00:00:00"/>
        <d v="2025-05-29T00:00:00"/>
        <d v="2025-01-15T00:00:00"/>
        <d v="2025-10-12T00:00:00"/>
        <d v="2025-12-23T00:00:00"/>
        <d v="2025-04-21T00:00:00"/>
        <d v="2025-09-05T00:00:00"/>
        <d v="2025-04-11T00:00:00"/>
        <d v="2025-11-27T00:00:00"/>
        <d v="2025-10-26T00:00:00"/>
        <d v="2025-11-20T00:00:00"/>
        <d v="2025-08-10T00:00:00"/>
        <d v="2025-09-09T00:00:00"/>
        <d v="2025-03-21T00:00:00"/>
        <d v="2025-12-24T00:00:00"/>
        <d v="2025-02-11T00:00:00"/>
        <d v="2025-09-25T00:00:00"/>
        <d v="2025-04-15T00:00:00"/>
        <d v="2025-01-10T00:00:00"/>
        <d v="2025-05-30T00:00:00"/>
        <d v="2025-06-06T00:00:00"/>
        <d v="2025-03-31T00:00:00"/>
        <d v="2025-04-18T00:00:00"/>
        <d v="2025-01-19T00:00:00"/>
        <d v="2025-10-27T00:00:00"/>
        <d v="2025-05-01T00:00:00"/>
        <d v="2025-07-07T00:00:00"/>
        <d v="2025-07-08T00:00:00"/>
        <d v="2025-05-02T00:00:00"/>
        <d v="2025-03-22T00:00:00"/>
        <d v="2025-10-28T00:00:00"/>
        <d v="2025-10-10T00:00:00"/>
        <d v="2025-07-18T00:00:00"/>
        <d v="2025-09-18T00:00:00"/>
        <d v="2025-11-19T00:00:00"/>
        <d v="2025-06-05T00:00:00"/>
        <d v="2025-01-09T00:00:00"/>
        <d v="2025-12-16T00:00:00"/>
        <d v="2025-09-15T00:00:00"/>
        <d v="2025-05-12T00:00:00"/>
        <d v="2025-02-24T00:00:00"/>
        <d v="2025-03-11T00:00:00"/>
        <d v="2025-02-03T00:00:00"/>
        <d v="2025-07-06T00:00:00"/>
        <d v="2025-11-21T00:00:00"/>
        <d v="2025-12-31T00:00:00"/>
        <d v="2025-03-24T00:00:00"/>
        <d v="2025-08-12T00:00:00"/>
        <d v="2025-10-30T00:00:00"/>
        <d v="2025-01-22T00:00:00"/>
        <d v="2025-06-13T00:00:00"/>
        <d v="2025-12-13T00:00:00"/>
        <d v="2025-07-21T00:00:00"/>
        <d v="2025-10-24T00:00:00"/>
        <d v="2025-08-23T00:00:00"/>
        <d v="2025-01-14T00:00:00"/>
        <d v="2025-11-04T00:00:00"/>
        <d v="2025-01-08T00:00:00"/>
        <d v="2025-03-17T00:00:00"/>
        <d v="2025-03-12T00:00:00"/>
        <d v="2025-06-29T00:00:00"/>
        <d v="2025-02-05T00:00:00"/>
        <d v="2025-02-22T00:00:00"/>
        <d v="2025-05-19T00:00:00"/>
        <d v="2025-05-31T00:00:00"/>
        <d v="2025-04-05T00:00:00"/>
        <d v="2025-10-16T00:00:00"/>
        <d v="2025-01-17T00:00:00"/>
        <d v="2025-02-08T00:00:00"/>
        <d v="2025-10-05T00:00:00"/>
        <d v="2025-06-03T00:00:00"/>
        <d v="2025-12-25T00:00:00"/>
        <d v="2025-11-08T00:00:00"/>
        <d v="2025-03-18T00:00:00"/>
        <d v="2025-07-14T00:00:00"/>
        <d v="2025-12-04T00:00:00"/>
        <d v="2025-01-31T00:00:00"/>
        <d v="2025-08-16T00:00:00"/>
        <d v="2025-12-20T00:00:00"/>
        <d v="2025-07-31T00:00:00"/>
        <d v="2025-10-21T00:00:00"/>
        <d v="2025-10-18T00:00:00"/>
        <d v="2025-09-13T00:00:00"/>
        <d v="2025-10-13T00:00:00"/>
        <d v="2025-05-16T00:00:00"/>
        <d v="2025-02-09T00:00:00"/>
        <d v="2025-08-04T00:00:00"/>
        <d v="2025-07-01T00:00:00"/>
        <d v="2025-02-17T00:00:00"/>
        <d v="2025-07-04T00:00:00"/>
        <d v="2025-10-04T00:00:00"/>
        <d v="2025-10-17T00:00:00"/>
        <d v="2025-09-08T00:00:00"/>
        <d v="2025-02-13T00:00:00"/>
        <d v="2025-04-19T00:00:00"/>
        <d v="2025-07-23T00:00:00"/>
        <d v="2025-11-17T00:00:00"/>
        <d v="2025-10-29T00:00:00"/>
        <d v="2025-09-04T00:00:00"/>
        <d v="2025-10-25T00:00:00"/>
        <d v="2025-03-03T00:00:00"/>
        <d v="2025-04-29T00:00:00"/>
        <d v="2025-05-06T00:00:00"/>
        <d v="2025-02-15T00:00:00"/>
        <d v="2025-10-06T00:00:00"/>
        <d v="2025-07-17T00:00:00"/>
        <d v="2025-02-25T00:00:00"/>
        <d v="2025-06-07T00:00:00"/>
        <d v="2025-10-09T00:00:00"/>
        <d v="2025-04-06T00:00:00"/>
        <d v="2025-02-01T00:00:00"/>
        <d v="2025-10-11T00:00:00"/>
        <d v="2025-06-23T00:00:00"/>
        <d v="2025-08-06T00:00:00"/>
        <d v="2025-11-12T00:00:00"/>
        <d v="2025-10-31T00:00:00"/>
        <d v="2025-05-04T00:00:00"/>
        <d v="2025-12-03T00:00:00"/>
        <d v="2025-11-11T00:00:00"/>
        <d v="2025-09-21T00:00:00"/>
        <d v="2025-08-14T00:00:00"/>
        <d v="2025-02-04T00:00:00"/>
        <d v="2025-12-17T00:00:00"/>
        <d v="2025-02-20T00:00:00"/>
        <d v="2025-10-01T00:00:00"/>
        <d v="2025-06-30T00:00:00"/>
        <d v="2025-02-06T00:00:00"/>
        <d v="2025-04-14T00:00:00"/>
        <d v="2025-06-18T00:00:00"/>
        <d v="2025-07-11T00:00:00"/>
        <d v="2025-03-19T00:00:00"/>
        <d v="2025-11-25T00:00:00"/>
        <d v="2025-10-08T00:00:00"/>
        <d v="2025-11-15T00:00:00"/>
        <d v="2025-12-27T00:00:00"/>
        <d v="2025-07-30T00:00:00"/>
        <d v="2025-04-27T00:00:00"/>
        <d v="2025-06-14T00:00:00"/>
        <d v="2025-07-13T00:00:00"/>
        <d v="2025-08-13T00:00:00"/>
        <d v="2025-07-25T00:00:00"/>
        <d v="2025-06-08T00:00:00"/>
        <d v="2025-08-25T00:00:00"/>
        <d v="2025-08-30T00:00:00"/>
        <d v="2025-09-12T00:00:00"/>
        <d v="2025-11-26T00:00:00"/>
        <d v="2025-10-14T00:00:00"/>
        <d v="2025-05-03T00:00:00"/>
        <d v="2025-06-15T00:00:00"/>
        <d v="2025-09-23T00:00:00"/>
        <d v="2025-06-04T00:00:00"/>
        <d v="2025-10-15T00:00:00"/>
        <d v="2025-09-30T00:00:00"/>
        <d v="2025-07-22T00:00:00"/>
        <d v="2025-08-09T00:00:00"/>
        <d v="2025-10-07T00:00:00"/>
        <d v="2025-02-19T00:00:00"/>
        <d v="2025-04-25T00:00:00"/>
        <d v="2025-02-28T00:00:00"/>
        <d v="2025-09-20T00:00:00"/>
        <d v="2025-11-29T00:00:00"/>
        <d v="2025-09-26T00:00:00"/>
        <d v="2025-03-15T00:00:00"/>
      </sharedItems>
      <fieldGroup par="14"/>
    </cacheField>
    <cacheField name="Discharge_Date" numFmtId="14">
      <sharedItems containsSemiMixedTypes="0" containsNonDate="0" containsDate="1" containsString="0" minDate="2025-01-03T00:00:00" maxDate="2026-01-06T00:00:00" count="273">
        <d v="2025-09-12T00:00:00"/>
        <d v="2025-04-23T00:00:00"/>
        <d v="2025-01-23T00:00:00"/>
        <d v="2025-02-28T00:00:00"/>
        <d v="2025-05-26T00:00:00"/>
        <d v="2025-05-06T00:00:00"/>
        <d v="2025-10-29T00:00:00"/>
        <d v="2025-03-15T00:00:00"/>
        <d v="2025-05-23T00:00:00"/>
        <d v="2025-05-13T00:00:00"/>
        <d v="2025-05-10T00:00:00"/>
        <d v="2025-07-16T00:00:00"/>
        <d v="2025-04-26T00:00:00"/>
        <d v="2025-05-01T00:00:00"/>
        <d v="2025-07-02T00:00:00"/>
        <d v="2025-08-20T00:00:00"/>
        <d v="2025-06-20T00:00:00"/>
        <d v="2025-06-14T00:00:00"/>
        <d v="2025-07-20T00:00:00"/>
        <d v="2025-05-19T00:00:00"/>
        <d v="2025-05-22T00:00:00"/>
        <d v="2025-02-01T00:00:00"/>
        <d v="2025-06-03T00:00:00"/>
        <d v="2025-11-23T00:00:00"/>
        <d v="2025-11-24T00:00:00"/>
        <d v="2025-01-03T00:00:00"/>
        <d v="2025-05-16T00:00:00"/>
        <d v="2025-04-29T00:00:00"/>
        <d v="2025-12-13T00:00:00"/>
        <d v="2025-05-18T00:00:00"/>
        <d v="2025-08-18T00:00:00"/>
        <d v="2025-12-05T00:00:00"/>
        <d v="2025-06-26T00:00:00"/>
        <d v="2025-04-27T00:00:00"/>
        <d v="2025-12-23T00:00:00"/>
        <d v="2025-03-09T00:00:00"/>
        <d v="2025-02-18T00:00:00"/>
        <d v="2025-09-03T00:00:00"/>
        <d v="2025-10-24T00:00:00"/>
        <d v="2025-12-07T00:00:00"/>
        <d v="2025-05-31T00:00:00"/>
        <d v="2025-11-12T00:00:00"/>
        <d v="2025-05-25T00:00:00"/>
        <d v="2025-04-11T00:00:00"/>
        <d v="2025-06-25T00:00:00"/>
        <d v="2025-08-23T00:00:00"/>
        <d v="2025-09-28T00:00:00"/>
        <d v="2025-03-31T00:00:00"/>
        <d v="2025-09-16T00:00:00"/>
        <d v="2025-09-25T00:00:00"/>
        <d v="2025-08-06T00:00:00"/>
        <d v="2025-08-16T00:00:00"/>
        <d v="2025-11-13T00:00:00"/>
        <d v="2025-05-28T00:00:00"/>
        <d v="2025-11-04T00:00:00"/>
        <d v="2025-01-08T00:00:00"/>
        <d v="2025-09-30T00:00:00"/>
        <d v="2025-07-12T00:00:00"/>
        <d v="2025-11-11T00:00:00"/>
        <d v="2025-09-10T00:00:00"/>
        <d v="2025-01-25T00:00:00"/>
        <d v="2025-08-01T00:00:00"/>
        <d v="2025-12-18T00:00:00"/>
        <d v="2025-09-13T00:00:00"/>
        <d v="2025-03-24T00:00:00"/>
        <d v="2025-04-02T00:00:00"/>
        <d v="2025-09-05T00:00:00"/>
        <d v="2025-01-17T00:00:00"/>
        <d v="2025-10-05T00:00:00"/>
        <d v="2025-03-10T00:00:00"/>
        <d v="2025-03-16T00:00:00"/>
        <d v="2025-09-04T00:00:00"/>
        <d v="2025-07-24T00:00:00"/>
        <d v="2025-04-09T00:00:00"/>
        <d v="2025-08-14T00:00:00"/>
        <d v="2025-03-20T00:00:00"/>
        <d v="2025-12-10T00:00:00"/>
        <d v="2025-11-19T00:00:00"/>
        <d v="2025-04-06T00:00:00"/>
        <d v="2025-02-07T00:00:00"/>
        <d v="2025-08-31T00:00:00"/>
        <d v="2025-03-17T00:00:00"/>
        <d v="2025-05-30T00:00:00"/>
        <d v="2025-01-15T00:00:00"/>
        <d v="2025-06-05T00:00:00"/>
        <d v="2025-06-01T00:00:00"/>
        <d v="2025-11-16T00:00:00"/>
        <d v="2025-06-27T00:00:00"/>
        <d v="2025-02-08T00:00:00"/>
        <d v="2025-09-02T00:00:00"/>
        <d v="2025-10-23T00:00:00"/>
        <d v="2025-12-17T00:00:00"/>
        <d v="2025-11-20T00:00:00"/>
        <d v="2025-03-27T00:00:00"/>
        <d v="2025-01-28T00:00:00"/>
        <d v="2025-02-09T00:00:00"/>
        <d v="2025-01-30T00:00:00"/>
        <d v="2025-03-03T00:00:00"/>
        <d v="2025-06-17T00:00:00"/>
        <d v="2025-04-28T00:00:00"/>
        <d v="2025-10-07T00:00:00"/>
        <d v="2025-06-18T00:00:00"/>
        <d v="2025-03-04T00:00:00"/>
        <d v="2025-03-02T00:00:00"/>
        <d v="2025-01-06T00:00:00"/>
        <d v="2025-05-17T00:00:00"/>
        <d v="2025-04-04T00:00:00"/>
        <d v="2025-11-09T00:00:00"/>
        <d v="2025-02-26T00:00:00"/>
        <d v="2025-07-10T00:00:00"/>
        <d v="2025-12-11T00:00:00"/>
        <d v="2025-08-26T00:00:00"/>
        <d v="2025-07-27T00:00:00"/>
        <d v="2025-06-08T00:00:00"/>
        <d v="2025-01-16T00:00:00"/>
        <d v="2025-10-21T00:00:00"/>
        <d v="2026-01-02T00:00:00"/>
        <d v="2025-04-22T00:00:00"/>
        <d v="2025-04-15T00:00:00"/>
        <d v="2025-12-06T00:00:00"/>
        <d v="2025-10-28T00:00:00"/>
        <d v="2025-07-17T00:00:00"/>
        <d v="2025-11-29T00:00:00"/>
        <d v="2025-08-17T00:00:00"/>
        <d v="2025-09-15T00:00:00"/>
        <d v="2026-01-03T00:00:00"/>
        <d v="2025-02-19T00:00:00"/>
        <d v="2025-01-14T00:00:00"/>
        <d v="2025-08-09T00:00:00"/>
        <d v="2025-12-12T00:00:00"/>
        <d v="2025-06-07T00:00:00"/>
        <d v="2025-04-03T00:00:00"/>
        <d v="2025-07-05T00:00:00"/>
        <d v="2025-06-28T00:00:00"/>
        <d v="2025-05-02T00:00:00"/>
        <d v="2025-07-11T00:00:00"/>
        <d v="2025-05-08T00:00:00"/>
        <d v="2025-10-19T00:00:00"/>
        <d v="2025-05-05T00:00:00"/>
        <d v="2025-09-20T00:00:00"/>
        <d v="2025-11-18T00:00:00"/>
        <d v="2025-12-30T00:00:00"/>
        <d v="2025-09-26T00:00:00"/>
        <d v="2025-06-13T00:00:00"/>
        <d v="2025-01-19T00:00:00"/>
        <d v="2025-12-21T00:00:00"/>
        <d v="2025-09-19T00:00:00"/>
        <d v="2025-02-25T00:00:00"/>
        <d v="2025-02-11T00:00:00"/>
        <d v="2025-03-13T00:00:00"/>
        <d v="2025-01-21T00:00:00"/>
        <d v="2025-05-14T00:00:00"/>
        <d v="2025-02-04T00:00:00"/>
        <d v="2025-07-08T00:00:00"/>
        <d v="2025-12-01T00:00:00"/>
        <d v="2025-08-19T00:00:00"/>
        <d v="2025-11-01T00:00:00"/>
        <d v="2025-06-21T00:00:00"/>
        <d v="2025-12-22T00:00:00"/>
        <d v="2025-01-22T00:00:00"/>
        <d v="2025-07-01T00:00:00"/>
        <d v="2025-09-17T00:00:00"/>
        <d v="2025-03-21T00:00:00"/>
        <d v="2025-11-22T00:00:00"/>
        <d v="2025-03-14T00:00:00"/>
        <d v="2025-06-10T00:00:00"/>
        <d v="2025-04-07T00:00:00"/>
        <d v="2025-01-24T00:00:00"/>
        <d v="2025-02-10T00:00:00"/>
        <d v="2025-10-11T00:00:00"/>
        <d v="2025-06-19T00:00:00"/>
        <d v="2025-08-22T00:00:00"/>
        <d v="2025-11-17T00:00:00"/>
        <d v="2025-04-13T00:00:00"/>
        <d v="2025-07-19T00:00:00"/>
        <d v="2025-12-14T00:00:00"/>
        <d v="2025-06-12T00:00:00"/>
        <d v="2025-07-15T00:00:00"/>
        <d v="2025-03-30T00:00:00"/>
        <d v="2025-07-21T00:00:00"/>
        <d v="2025-08-24T00:00:00"/>
        <d v="2025-08-07T00:00:00"/>
        <d v="2025-11-27T00:00:00"/>
        <d v="2025-10-22T00:00:00"/>
        <d v="2025-06-15T00:00:00"/>
        <d v="2025-02-15T00:00:00"/>
        <d v="2026-01-05T00:00:00"/>
        <d v="2025-08-12T00:00:00"/>
        <d v="2025-05-21T00:00:00"/>
        <d v="2025-09-21T00:00:00"/>
        <d v="2025-06-06T00:00:00"/>
        <d v="2025-04-14T00:00:00"/>
        <d v="2025-03-25T00:00:00"/>
        <d v="2025-10-26T00:00:00"/>
        <d v="2025-02-21T00:00:00"/>
        <d v="2025-07-30T00:00:00"/>
        <d v="2025-11-21T00:00:00"/>
        <d v="2025-08-05T00:00:00"/>
        <d v="2025-11-03T00:00:00"/>
        <d v="2025-09-11T00:00:00"/>
        <d v="2025-10-30T00:00:00"/>
        <d v="2025-08-15T00:00:00"/>
        <d v="2025-03-08T00:00:00"/>
        <d v="2025-11-14T00:00:00"/>
        <d v="2025-01-13T00:00:00"/>
        <d v="2025-04-24T00:00:00"/>
        <d v="2025-02-22T00:00:00"/>
        <d v="2025-10-08T00:00:00"/>
        <d v="2025-01-05T00:00:00"/>
        <d v="2025-07-26T00:00:00"/>
        <d v="2025-10-15T00:00:00"/>
        <d v="2025-11-30T00:00:00"/>
        <d v="2025-02-05T00:00:00"/>
        <d v="2025-10-13T00:00:00"/>
        <d v="2025-05-11T00:00:00"/>
        <d v="2025-06-30T00:00:00"/>
        <d v="2025-11-10T00:00:00"/>
        <d v="2025-02-20T00:00:00"/>
        <d v="2025-06-16T00:00:00"/>
        <d v="2025-11-08T00:00:00"/>
        <d v="2025-01-18T00:00:00"/>
        <d v="2025-10-06T00:00:00"/>
        <d v="2025-11-07T00:00:00"/>
        <d v="2025-09-27T00:00:00"/>
        <d v="2025-04-17T00:00:00"/>
        <d v="2025-06-04T00:00:00"/>
        <d v="2025-08-30T00:00:00"/>
        <d v="2025-10-25T00:00:00"/>
        <d v="2025-11-06T00:00:00"/>
        <d v="2025-03-19T00:00:00"/>
        <d v="2025-10-02T00:00:00"/>
        <d v="2025-07-06T00:00:00"/>
        <d v="2025-04-21T00:00:00"/>
        <d v="2025-07-29T00:00:00"/>
        <d v="2025-03-06T00:00:00"/>
        <d v="2025-05-07T00:00:00"/>
        <d v="2025-11-02T00:00:00"/>
        <d v="2025-03-05T00:00:00"/>
        <d v="2025-08-28T00:00:00"/>
        <d v="2025-03-26T00:00:00"/>
        <d v="2025-09-06T00:00:00"/>
        <d v="2025-01-27T00:00:00"/>
        <d v="2025-07-13T00:00:00"/>
        <d v="2025-04-08T00:00:00"/>
        <d v="2025-07-18T00:00:00"/>
        <d v="2025-09-22T00:00:00"/>
        <d v="2025-07-28T00:00:00"/>
        <d v="2025-08-02T00:00:00"/>
        <d v="2025-12-19T00:00:00"/>
        <d v="2025-08-27T00:00:00"/>
        <d v="2025-10-12T00:00:00"/>
        <d v="2025-09-01T00:00:00"/>
        <d v="2025-04-25T00:00:00"/>
        <d v="2025-08-08T00:00:00"/>
        <d v="2025-04-16T00:00:00"/>
        <d v="2025-03-29T00:00:00"/>
        <d v="2025-03-01T00:00:00"/>
        <d v="2025-08-29T00:00:00"/>
        <d v="2025-05-12T00:00:00"/>
        <d v="2025-03-11T00:00:00"/>
        <d v="2025-01-09T00:00:00"/>
        <d v="2025-12-03T00:00:00"/>
        <d v="2025-02-13T00:00:00"/>
        <d v="2025-10-10T00:00:00"/>
        <d v="2025-10-20T00:00:00"/>
        <d v="2025-05-24T00:00:00"/>
        <d v="2025-10-09T00:00:00"/>
        <d v="2025-10-16T00:00:00"/>
        <d v="2025-01-20T00:00:00"/>
        <d v="2025-09-29T00:00:00"/>
        <d v="2025-09-24T00:00:00"/>
        <d v="2025-10-31T00:00:00"/>
        <d v="2025-11-25T00:00:00"/>
      </sharedItems>
    </cacheField>
    <cacheField name="Department" numFmtId="0">
      <sharedItems count="5">
        <s v="Cardiology"/>
        <s v="Orthopedics"/>
        <s v="General"/>
        <s v="Neurology"/>
        <s v="Pediatrics"/>
      </sharedItems>
    </cacheField>
    <cacheField name="Diagnosis" numFmtId="0">
      <sharedItems/>
    </cacheField>
    <cacheField name="Doctor" numFmtId="0">
      <sharedItems count="5">
        <s v="Dr. Rao"/>
        <s v="Dr. Sharma"/>
        <s v="Dr. Reddy"/>
        <s v="Dr. Patel"/>
        <s v="Dr. Kumar"/>
      </sharedItems>
    </cacheField>
    <cacheField name="Treatment_Cost" numFmtId="0">
      <sharedItems containsSemiMixedTypes="0" containsString="0" containsNumber="1" containsInteger="1" minValue="5250" maxValue="99992"/>
    </cacheField>
    <cacheField name="Payment_Type" numFmtId="0">
      <sharedItems count="2">
        <s v="Insurance"/>
        <s v="Self"/>
      </sharedItems>
    </cacheField>
    <cacheField name="Outcome" numFmtId="0">
      <sharedItems count="3">
        <s v="Recovered"/>
        <s v="Critical"/>
        <s v="Under Treatment"/>
      </sharedItems>
    </cacheField>
    <cacheField name="LENGTH STAY" numFmtId="0">
      <sharedItems containsSemiMixedTypes="0" containsString="0" containsNumber="1" containsInteger="1" minValue="1" maxValue="10"/>
    </cacheField>
    <cacheField name="REVENUE CATEGORY" numFmtId="0">
      <sharedItems/>
    </cacheField>
    <cacheField name="Days (Admission_Date)" numFmtId="0" databaseField="0">
      <fieldGroup base="3">
        <rangePr groupBy="days" startDate="2025-01-02T00:00:00" endDate="2026-01-01T00:00:00"/>
        <groupItems count="368">
          <s v="&lt;02-01-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6"/>
        </groupItems>
      </fieldGroup>
    </cacheField>
    <cacheField name="Months (Admission_Date)" numFmtId="0" databaseField="0">
      <fieldGroup base="3">
        <rangePr groupBy="months" startDate="2025-01-02T00:00:00" endDate="2026-01-01T00:00:00"/>
        <groupItems count="14">
          <s v="&lt;02-01-2025"/>
          <s v="Jan"/>
          <s v="Feb"/>
          <s v="Mar"/>
          <s v="Apr"/>
          <s v="May"/>
          <s v="Jun"/>
          <s v="Jul"/>
          <s v="Aug"/>
          <s v="Sep"/>
          <s v="Oct"/>
          <s v="Nov"/>
          <s v="Dec"/>
          <s v="&gt;01-01-2026"/>
        </groupItems>
      </fieldGroup>
    </cacheField>
  </cacheFields>
  <extLst>
    <ext xmlns:x14="http://schemas.microsoft.com/office/spreadsheetml/2009/9/main" uri="{725AE2AE-9491-48be-B2B4-4EB974FC3084}">
      <x14:pivotCacheDefinition pivotCacheId="4429309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n v="25"/>
    <x v="0"/>
    <x v="0"/>
    <x v="0"/>
    <x v="0"/>
    <s v="Fracture"/>
    <x v="0"/>
    <n v="97053"/>
    <x v="0"/>
    <x v="0"/>
    <n v="5"/>
    <s v="High"/>
  </r>
  <r>
    <x v="1"/>
    <n v="74"/>
    <x v="0"/>
    <x v="1"/>
    <x v="1"/>
    <x v="1"/>
    <s v="Heart Disease"/>
    <x v="1"/>
    <n v="66574"/>
    <x v="0"/>
    <x v="1"/>
    <n v="1"/>
    <s v="High"/>
  </r>
  <r>
    <x v="2"/>
    <n v="53"/>
    <x v="1"/>
    <x v="2"/>
    <x v="2"/>
    <x v="2"/>
    <s v="Migraine"/>
    <x v="2"/>
    <n v="97636"/>
    <x v="1"/>
    <x v="2"/>
    <n v="2"/>
    <s v="High"/>
  </r>
  <r>
    <x v="3"/>
    <n v="73"/>
    <x v="0"/>
    <x v="3"/>
    <x v="3"/>
    <x v="2"/>
    <s v="Fracture"/>
    <x v="3"/>
    <n v="61426"/>
    <x v="0"/>
    <x v="0"/>
    <n v="2"/>
    <s v="High"/>
  </r>
  <r>
    <x v="4"/>
    <n v="37"/>
    <x v="0"/>
    <x v="4"/>
    <x v="0"/>
    <x v="2"/>
    <s v="Diabetes"/>
    <x v="4"/>
    <n v="88633"/>
    <x v="1"/>
    <x v="2"/>
    <n v="6"/>
    <s v="High"/>
  </r>
  <r>
    <x v="5"/>
    <n v="21"/>
    <x v="0"/>
    <x v="5"/>
    <x v="4"/>
    <x v="3"/>
    <s v="Heart Disease"/>
    <x v="3"/>
    <n v="71888"/>
    <x v="1"/>
    <x v="0"/>
    <n v="1"/>
    <s v="High"/>
  </r>
  <r>
    <x v="6"/>
    <n v="74"/>
    <x v="1"/>
    <x v="6"/>
    <x v="5"/>
    <x v="2"/>
    <s v="Diabetes"/>
    <x v="4"/>
    <n v="40468"/>
    <x v="0"/>
    <x v="1"/>
    <n v="1"/>
    <s v="Standard"/>
  </r>
  <r>
    <x v="7"/>
    <n v="24"/>
    <x v="1"/>
    <x v="7"/>
    <x v="6"/>
    <x v="1"/>
    <s v="Migraine"/>
    <x v="2"/>
    <n v="47252"/>
    <x v="1"/>
    <x v="0"/>
    <n v="9"/>
    <s v="Standard"/>
  </r>
  <r>
    <x v="8"/>
    <n v="46"/>
    <x v="0"/>
    <x v="8"/>
    <x v="7"/>
    <x v="3"/>
    <s v="Fever"/>
    <x v="4"/>
    <n v="47953"/>
    <x v="0"/>
    <x v="2"/>
    <n v="5"/>
    <s v="Standard"/>
  </r>
  <r>
    <x v="9"/>
    <n v="40"/>
    <x v="0"/>
    <x v="9"/>
    <x v="8"/>
    <x v="1"/>
    <s v="Fracture"/>
    <x v="0"/>
    <n v="11948"/>
    <x v="1"/>
    <x v="1"/>
    <n v="6"/>
    <s v="Standard"/>
  </r>
  <r>
    <x v="10"/>
    <n v="22"/>
    <x v="1"/>
    <x v="10"/>
    <x v="9"/>
    <x v="2"/>
    <s v="Fever"/>
    <x v="4"/>
    <n v="19252"/>
    <x v="1"/>
    <x v="0"/>
    <n v="4"/>
    <s v="Standard"/>
  </r>
  <r>
    <x v="11"/>
    <n v="60"/>
    <x v="0"/>
    <x v="11"/>
    <x v="10"/>
    <x v="3"/>
    <s v="Heart Disease"/>
    <x v="1"/>
    <n v="81257"/>
    <x v="0"/>
    <x v="1"/>
    <n v="2"/>
    <s v="High"/>
  </r>
  <r>
    <x v="12"/>
    <n v="49"/>
    <x v="1"/>
    <x v="12"/>
    <x v="11"/>
    <x v="0"/>
    <s v="Fever"/>
    <x v="4"/>
    <n v="17940"/>
    <x v="0"/>
    <x v="2"/>
    <n v="7"/>
    <s v="Standard"/>
  </r>
  <r>
    <x v="13"/>
    <n v="72"/>
    <x v="1"/>
    <x v="13"/>
    <x v="12"/>
    <x v="2"/>
    <s v="Diabetes"/>
    <x v="1"/>
    <n v="8329"/>
    <x v="1"/>
    <x v="2"/>
    <n v="10"/>
    <s v="Standard"/>
  </r>
  <r>
    <x v="14"/>
    <n v="62"/>
    <x v="0"/>
    <x v="14"/>
    <x v="13"/>
    <x v="1"/>
    <s v="Diabetes"/>
    <x v="2"/>
    <n v="47881"/>
    <x v="0"/>
    <x v="2"/>
    <n v="1"/>
    <s v="Standard"/>
  </r>
  <r>
    <x v="15"/>
    <n v="61"/>
    <x v="1"/>
    <x v="15"/>
    <x v="14"/>
    <x v="4"/>
    <s v="Migraine"/>
    <x v="4"/>
    <n v="94883"/>
    <x v="0"/>
    <x v="0"/>
    <n v="6"/>
    <s v="High"/>
  </r>
  <r>
    <x v="16"/>
    <n v="52"/>
    <x v="1"/>
    <x v="16"/>
    <x v="15"/>
    <x v="0"/>
    <s v="Migraine"/>
    <x v="2"/>
    <n v="78810"/>
    <x v="1"/>
    <x v="1"/>
    <n v="2"/>
    <s v="High"/>
  </r>
  <r>
    <x v="17"/>
    <n v="58"/>
    <x v="0"/>
    <x v="17"/>
    <x v="16"/>
    <x v="0"/>
    <s v="Fever"/>
    <x v="1"/>
    <n v="67921"/>
    <x v="1"/>
    <x v="1"/>
    <n v="8"/>
    <s v="High"/>
  </r>
  <r>
    <x v="18"/>
    <n v="73"/>
    <x v="1"/>
    <x v="18"/>
    <x v="17"/>
    <x v="2"/>
    <s v="Heart Disease"/>
    <x v="3"/>
    <n v="78932"/>
    <x v="1"/>
    <x v="1"/>
    <n v="3"/>
    <s v="High"/>
  </r>
  <r>
    <x v="19"/>
    <n v="49"/>
    <x v="1"/>
    <x v="19"/>
    <x v="18"/>
    <x v="0"/>
    <s v="Diabetes"/>
    <x v="3"/>
    <n v="79343"/>
    <x v="0"/>
    <x v="1"/>
    <n v="1"/>
    <s v="High"/>
  </r>
  <r>
    <x v="20"/>
    <n v="33"/>
    <x v="0"/>
    <x v="20"/>
    <x v="19"/>
    <x v="0"/>
    <s v="Fracture"/>
    <x v="3"/>
    <n v="54505"/>
    <x v="0"/>
    <x v="0"/>
    <n v="8"/>
    <s v="High"/>
  </r>
  <r>
    <x v="21"/>
    <n v="69"/>
    <x v="0"/>
    <x v="9"/>
    <x v="20"/>
    <x v="4"/>
    <s v="Fracture"/>
    <x v="4"/>
    <n v="58685"/>
    <x v="0"/>
    <x v="1"/>
    <n v="5"/>
    <s v="High"/>
  </r>
  <r>
    <x v="22"/>
    <n v="63"/>
    <x v="1"/>
    <x v="21"/>
    <x v="21"/>
    <x v="3"/>
    <s v="Fever"/>
    <x v="4"/>
    <n v="46970"/>
    <x v="0"/>
    <x v="0"/>
    <n v="3"/>
    <s v="Standard"/>
  </r>
  <r>
    <x v="23"/>
    <n v="32"/>
    <x v="0"/>
    <x v="22"/>
    <x v="22"/>
    <x v="3"/>
    <s v="Fracture"/>
    <x v="4"/>
    <n v="96661"/>
    <x v="0"/>
    <x v="0"/>
    <n v="10"/>
    <s v="High"/>
  </r>
  <r>
    <x v="24"/>
    <n v="20"/>
    <x v="0"/>
    <x v="23"/>
    <x v="23"/>
    <x v="3"/>
    <s v="Heart Disease"/>
    <x v="4"/>
    <n v="36078"/>
    <x v="0"/>
    <x v="1"/>
    <n v="9"/>
    <s v="Standard"/>
  </r>
  <r>
    <x v="25"/>
    <n v="30"/>
    <x v="1"/>
    <x v="24"/>
    <x v="24"/>
    <x v="0"/>
    <s v="Fracture"/>
    <x v="1"/>
    <n v="84604"/>
    <x v="1"/>
    <x v="2"/>
    <n v="1"/>
    <s v="High"/>
  </r>
  <r>
    <x v="26"/>
    <n v="20"/>
    <x v="1"/>
    <x v="25"/>
    <x v="25"/>
    <x v="4"/>
    <s v="Fracture"/>
    <x v="1"/>
    <n v="18591"/>
    <x v="1"/>
    <x v="1"/>
    <n v="1"/>
    <s v="Standard"/>
  </r>
  <r>
    <x v="27"/>
    <n v="74"/>
    <x v="1"/>
    <x v="10"/>
    <x v="26"/>
    <x v="2"/>
    <s v="Diabetes"/>
    <x v="1"/>
    <n v="96706"/>
    <x v="1"/>
    <x v="2"/>
    <n v="7"/>
    <s v="High"/>
  </r>
  <r>
    <x v="28"/>
    <n v="33"/>
    <x v="1"/>
    <x v="1"/>
    <x v="27"/>
    <x v="3"/>
    <s v="Fracture"/>
    <x v="3"/>
    <n v="65517"/>
    <x v="1"/>
    <x v="0"/>
    <n v="7"/>
    <s v="High"/>
  </r>
  <r>
    <x v="29"/>
    <n v="75"/>
    <x v="1"/>
    <x v="26"/>
    <x v="28"/>
    <x v="0"/>
    <s v="Heart Disease"/>
    <x v="4"/>
    <n v="45409"/>
    <x v="1"/>
    <x v="1"/>
    <n v="4"/>
    <s v="Standard"/>
  </r>
  <r>
    <x v="30"/>
    <n v="57"/>
    <x v="0"/>
    <x v="27"/>
    <x v="29"/>
    <x v="0"/>
    <s v="Diabetes"/>
    <x v="3"/>
    <n v="42008"/>
    <x v="1"/>
    <x v="0"/>
    <n v="4"/>
    <s v="Standard"/>
  </r>
  <r>
    <x v="31"/>
    <n v="50"/>
    <x v="0"/>
    <x v="28"/>
    <x v="30"/>
    <x v="0"/>
    <s v="Migraine"/>
    <x v="3"/>
    <n v="14113"/>
    <x v="0"/>
    <x v="0"/>
    <n v="1"/>
    <s v="Standard"/>
  </r>
  <r>
    <x v="32"/>
    <n v="55"/>
    <x v="0"/>
    <x v="29"/>
    <x v="31"/>
    <x v="3"/>
    <s v="Fracture"/>
    <x v="3"/>
    <n v="81496"/>
    <x v="1"/>
    <x v="0"/>
    <n v="3"/>
    <s v="High"/>
  </r>
  <r>
    <x v="33"/>
    <n v="47"/>
    <x v="0"/>
    <x v="30"/>
    <x v="32"/>
    <x v="1"/>
    <s v="Fever"/>
    <x v="3"/>
    <n v="89225"/>
    <x v="1"/>
    <x v="0"/>
    <n v="6"/>
    <s v="High"/>
  </r>
  <r>
    <x v="34"/>
    <n v="37"/>
    <x v="1"/>
    <x v="31"/>
    <x v="20"/>
    <x v="3"/>
    <s v="Fracture"/>
    <x v="2"/>
    <n v="25747"/>
    <x v="0"/>
    <x v="1"/>
    <n v="4"/>
    <s v="Standard"/>
  </r>
  <r>
    <x v="35"/>
    <n v="42"/>
    <x v="1"/>
    <x v="32"/>
    <x v="33"/>
    <x v="3"/>
    <s v="Migraine"/>
    <x v="0"/>
    <n v="79642"/>
    <x v="0"/>
    <x v="1"/>
    <n v="1"/>
    <s v="High"/>
  </r>
  <r>
    <x v="36"/>
    <n v="41"/>
    <x v="0"/>
    <x v="33"/>
    <x v="34"/>
    <x v="1"/>
    <s v="Fever"/>
    <x v="2"/>
    <n v="97654"/>
    <x v="0"/>
    <x v="2"/>
    <n v="8"/>
    <s v="High"/>
  </r>
  <r>
    <x v="37"/>
    <n v="32"/>
    <x v="1"/>
    <x v="34"/>
    <x v="35"/>
    <x v="3"/>
    <s v="Migraine"/>
    <x v="0"/>
    <n v="74839"/>
    <x v="1"/>
    <x v="0"/>
    <n v="7"/>
    <s v="High"/>
  </r>
  <r>
    <x v="38"/>
    <n v="71"/>
    <x v="0"/>
    <x v="35"/>
    <x v="36"/>
    <x v="4"/>
    <s v="Heart Disease"/>
    <x v="2"/>
    <n v="94701"/>
    <x v="1"/>
    <x v="1"/>
    <n v="4"/>
    <s v="High"/>
  </r>
  <r>
    <x v="39"/>
    <n v="41"/>
    <x v="1"/>
    <x v="36"/>
    <x v="37"/>
    <x v="0"/>
    <s v="Diabetes"/>
    <x v="3"/>
    <n v="48665"/>
    <x v="1"/>
    <x v="0"/>
    <n v="3"/>
    <s v="Standard"/>
  </r>
  <r>
    <x v="40"/>
    <n v="21"/>
    <x v="0"/>
    <x v="37"/>
    <x v="38"/>
    <x v="3"/>
    <s v="Fever"/>
    <x v="2"/>
    <n v="23165"/>
    <x v="1"/>
    <x v="0"/>
    <n v="5"/>
    <s v="Standard"/>
  </r>
  <r>
    <x v="41"/>
    <n v="79"/>
    <x v="0"/>
    <x v="38"/>
    <x v="39"/>
    <x v="0"/>
    <s v="Fracture"/>
    <x v="0"/>
    <n v="16790"/>
    <x v="1"/>
    <x v="1"/>
    <n v="6"/>
    <s v="Standard"/>
  </r>
  <r>
    <x v="42"/>
    <n v="77"/>
    <x v="1"/>
    <x v="39"/>
    <x v="40"/>
    <x v="3"/>
    <s v="Fracture"/>
    <x v="2"/>
    <n v="81388"/>
    <x v="0"/>
    <x v="1"/>
    <n v="10"/>
    <s v="High"/>
  </r>
  <r>
    <x v="43"/>
    <n v="23"/>
    <x v="1"/>
    <x v="40"/>
    <x v="41"/>
    <x v="1"/>
    <s v="Diabetes"/>
    <x v="3"/>
    <n v="79049"/>
    <x v="1"/>
    <x v="2"/>
    <n v="3"/>
    <s v="High"/>
  </r>
  <r>
    <x v="44"/>
    <n v="26"/>
    <x v="0"/>
    <x v="9"/>
    <x v="42"/>
    <x v="2"/>
    <s v="Diabetes"/>
    <x v="3"/>
    <n v="96695"/>
    <x v="1"/>
    <x v="2"/>
    <n v="8"/>
    <s v="High"/>
  </r>
  <r>
    <x v="45"/>
    <n v="40"/>
    <x v="0"/>
    <x v="41"/>
    <x v="32"/>
    <x v="2"/>
    <s v="Diabetes"/>
    <x v="4"/>
    <n v="15434"/>
    <x v="0"/>
    <x v="1"/>
    <n v="10"/>
    <s v="Standard"/>
  </r>
  <r>
    <x v="46"/>
    <n v="49"/>
    <x v="1"/>
    <x v="42"/>
    <x v="43"/>
    <x v="2"/>
    <s v="Diabetes"/>
    <x v="0"/>
    <n v="99291"/>
    <x v="0"/>
    <x v="1"/>
    <n v="1"/>
    <s v="High"/>
  </r>
  <r>
    <x v="47"/>
    <n v="76"/>
    <x v="0"/>
    <x v="43"/>
    <x v="44"/>
    <x v="2"/>
    <s v="Fever"/>
    <x v="2"/>
    <n v="56697"/>
    <x v="1"/>
    <x v="1"/>
    <n v="8"/>
    <s v="High"/>
  </r>
  <r>
    <x v="48"/>
    <n v="78"/>
    <x v="1"/>
    <x v="44"/>
    <x v="45"/>
    <x v="3"/>
    <s v="Fever"/>
    <x v="4"/>
    <n v="20229"/>
    <x v="1"/>
    <x v="0"/>
    <n v="8"/>
    <s v="Standard"/>
  </r>
  <r>
    <x v="49"/>
    <n v="34"/>
    <x v="1"/>
    <x v="45"/>
    <x v="46"/>
    <x v="2"/>
    <s v="Fracture"/>
    <x v="1"/>
    <n v="29047"/>
    <x v="0"/>
    <x v="1"/>
    <n v="9"/>
    <s v="Standard"/>
  </r>
  <r>
    <x v="50"/>
    <n v="50"/>
    <x v="1"/>
    <x v="41"/>
    <x v="16"/>
    <x v="0"/>
    <s v="Fever"/>
    <x v="2"/>
    <n v="58516"/>
    <x v="1"/>
    <x v="1"/>
    <n v="4"/>
    <s v="High"/>
  </r>
  <r>
    <x v="51"/>
    <n v="60"/>
    <x v="0"/>
    <x v="46"/>
    <x v="47"/>
    <x v="3"/>
    <s v="Fracture"/>
    <x v="1"/>
    <n v="42296"/>
    <x v="0"/>
    <x v="2"/>
    <n v="8"/>
    <s v="Standard"/>
  </r>
  <r>
    <x v="52"/>
    <n v="73"/>
    <x v="0"/>
    <x v="4"/>
    <x v="48"/>
    <x v="1"/>
    <s v="Migraine"/>
    <x v="2"/>
    <n v="72942"/>
    <x v="0"/>
    <x v="1"/>
    <n v="10"/>
    <s v="High"/>
  </r>
  <r>
    <x v="53"/>
    <n v="56"/>
    <x v="0"/>
    <x v="47"/>
    <x v="49"/>
    <x v="0"/>
    <s v="Diabetes"/>
    <x v="1"/>
    <n v="63112"/>
    <x v="0"/>
    <x v="1"/>
    <n v="3"/>
    <s v="High"/>
  </r>
  <r>
    <x v="54"/>
    <n v="21"/>
    <x v="1"/>
    <x v="48"/>
    <x v="50"/>
    <x v="4"/>
    <s v="Heart Disease"/>
    <x v="2"/>
    <n v="77423"/>
    <x v="0"/>
    <x v="2"/>
    <n v="3"/>
    <s v="High"/>
  </r>
  <r>
    <x v="55"/>
    <n v="46"/>
    <x v="0"/>
    <x v="49"/>
    <x v="51"/>
    <x v="4"/>
    <s v="Migraine"/>
    <x v="1"/>
    <n v="23810"/>
    <x v="1"/>
    <x v="0"/>
    <n v="9"/>
    <s v="Standard"/>
  </r>
  <r>
    <x v="56"/>
    <n v="26"/>
    <x v="1"/>
    <x v="50"/>
    <x v="52"/>
    <x v="4"/>
    <s v="Migraine"/>
    <x v="2"/>
    <n v="80143"/>
    <x v="0"/>
    <x v="0"/>
    <n v="10"/>
    <s v="High"/>
  </r>
  <r>
    <x v="57"/>
    <n v="52"/>
    <x v="1"/>
    <x v="51"/>
    <x v="53"/>
    <x v="1"/>
    <s v="Diabetes"/>
    <x v="4"/>
    <n v="23966"/>
    <x v="0"/>
    <x v="1"/>
    <n v="6"/>
    <s v="Standard"/>
  </r>
  <r>
    <x v="58"/>
    <n v="37"/>
    <x v="1"/>
    <x v="52"/>
    <x v="54"/>
    <x v="1"/>
    <s v="Diabetes"/>
    <x v="1"/>
    <n v="82685"/>
    <x v="0"/>
    <x v="2"/>
    <n v="2"/>
    <s v="High"/>
  </r>
  <r>
    <x v="59"/>
    <n v="31"/>
    <x v="0"/>
    <x v="53"/>
    <x v="55"/>
    <x v="3"/>
    <s v="Diabetes"/>
    <x v="2"/>
    <n v="90448"/>
    <x v="1"/>
    <x v="1"/>
    <n v="1"/>
    <s v="High"/>
  </r>
  <r>
    <x v="60"/>
    <n v="23"/>
    <x v="0"/>
    <x v="50"/>
    <x v="54"/>
    <x v="1"/>
    <s v="Fever"/>
    <x v="3"/>
    <n v="90652"/>
    <x v="1"/>
    <x v="0"/>
    <n v="1"/>
    <s v="High"/>
  </r>
  <r>
    <x v="61"/>
    <n v="39"/>
    <x v="1"/>
    <x v="54"/>
    <x v="56"/>
    <x v="1"/>
    <s v="Migraine"/>
    <x v="1"/>
    <n v="34557"/>
    <x v="1"/>
    <x v="0"/>
    <n v="2"/>
    <s v="Standard"/>
  </r>
  <r>
    <x v="62"/>
    <n v="76"/>
    <x v="1"/>
    <x v="55"/>
    <x v="57"/>
    <x v="3"/>
    <s v="Fracture"/>
    <x v="2"/>
    <n v="28333"/>
    <x v="0"/>
    <x v="1"/>
    <n v="7"/>
    <s v="Standard"/>
  </r>
  <r>
    <x v="63"/>
    <n v="68"/>
    <x v="1"/>
    <x v="56"/>
    <x v="58"/>
    <x v="2"/>
    <s v="Heart Disease"/>
    <x v="1"/>
    <n v="22048"/>
    <x v="1"/>
    <x v="2"/>
    <n v="6"/>
    <s v="Standard"/>
  </r>
  <r>
    <x v="64"/>
    <n v="58"/>
    <x v="0"/>
    <x v="57"/>
    <x v="59"/>
    <x v="2"/>
    <s v="Migraine"/>
    <x v="3"/>
    <n v="77747"/>
    <x v="0"/>
    <x v="1"/>
    <n v="8"/>
    <s v="High"/>
  </r>
  <r>
    <x v="65"/>
    <n v="61"/>
    <x v="0"/>
    <x v="2"/>
    <x v="60"/>
    <x v="3"/>
    <s v="Heart Disease"/>
    <x v="2"/>
    <n v="41697"/>
    <x v="0"/>
    <x v="0"/>
    <n v="4"/>
    <s v="Standard"/>
  </r>
  <r>
    <x v="66"/>
    <n v="52"/>
    <x v="0"/>
    <x v="58"/>
    <x v="61"/>
    <x v="1"/>
    <s v="Fever"/>
    <x v="1"/>
    <n v="20477"/>
    <x v="0"/>
    <x v="0"/>
    <n v="3"/>
    <s v="Standard"/>
  </r>
  <r>
    <x v="67"/>
    <n v="35"/>
    <x v="1"/>
    <x v="59"/>
    <x v="62"/>
    <x v="2"/>
    <s v="Fever"/>
    <x v="1"/>
    <n v="93862"/>
    <x v="1"/>
    <x v="1"/>
    <n v="6"/>
    <s v="High"/>
  </r>
  <r>
    <x v="68"/>
    <n v="78"/>
    <x v="1"/>
    <x v="22"/>
    <x v="22"/>
    <x v="1"/>
    <s v="Diabetes"/>
    <x v="1"/>
    <n v="43431"/>
    <x v="1"/>
    <x v="2"/>
    <n v="10"/>
    <s v="Standard"/>
  </r>
  <r>
    <x v="69"/>
    <n v="43"/>
    <x v="1"/>
    <x v="60"/>
    <x v="63"/>
    <x v="3"/>
    <s v="Diabetes"/>
    <x v="4"/>
    <n v="40241"/>
    <x v="1"/>
    <x v="0"/>
    <n v="2"/>
    <s v="Standard"/>
  </r>
  <r>
    <x v="70"/>
    <n v="21"/>
    <x v="1"/>
    <x v="61"/>
    <x v="64"/>
    <x v="2"/>
    <s v="Fracture"/>
    <x v="1"/>
    <n v="26368"/>
    <x v="1"/>
    <x v="0"/>
    <n v="4"/>
    <s v="Standard"/>
  </r>
  <r>
    <x v="71"/>
    <n v="20"/>
    <x v="1"/>
    <x v="62"/>
    <x v="65"/>
    <x v="2"/>
    <s v="Heart Disease"/>
    <x v="2"/>
    <n v="39075"/>
    <x v="1"/>
    <x v="2"/>
    <n v="1"/>
    <s v="Standard"/>
  </r>
  <r>
    <x v="72"/>
    <n v="71"/>
    <x v="0"/>
    <x v="63"/>
    <x v="66"/>
    <x v="4"/>
    <s v="Fever"/>
    <x v="0"/>
    <n v="65225"/>
    <x v="0"/>
    <x v="2"/>
    <n v="9"/>
    <s v="High"/>
  </r>
  <r>
    <x v="73"/>
    <n v="69"/>
    <x v="1"/>
    <x v="64"/>
    <x v="66"/>
    <x v="4"/>
    <s v="Fracture"/>
    <x v="2"/>
    <n v="26344"/>
    <x v="1"/>
    <x v="0"/>
    <n v="8"/>
    <s v="Standard"/>
  </r>
  <r>
    <x v="74"/>
    <n v="55"/>
    <x v="1"/>
    <x v="65"/>
    <x v="67"/>
    <x v="1"/>
    <s v="Fracture"/>
    <x v="1"/>
    <n v="66269"/>
    <x v="1"/>
    <x v="2"/>
    <n v="4"/>
    <s v="High"/>
  </r>
  <r>
    <x v="75"/>
    <n v="37"/>
    <x v="0"/>
    <x v="66"/>
    <x v="68"/>
    <x v="0"/>
    <s v="Migraine"/>
    <x v="0"/>
    <n v="58852"/>
    <x v="0"/>
    <x v="2"/>
    <n v="2"/>
    <s v="High"/>
  </r>
  <r>
    <x v="76"/>
    <n v="67"/>
    <x v="0"/>
    <x v="67"/>
    <x v="39"/>
    <x v="1"/>
    <s v="Heart Disease"/>
    <x v="4"/>
    <n v="85769"/>
    <x v="0"/>
    <x v="1"/>
    <n v="1"/>
    <s v="High"/>
  </r>
  <r>
    <x v="77"/>
    <n v="65"/>
    <x v="1"/>
    <x v="68"/>
    <x v="69"/>
    <x v="0"/>
    <s v="Fever"/>
    <x v="0"/>
    <n v="9482"/>
    <x v="1"/>
    <x v="1"/>
    <n v="6"/>
    <s v="Standard"/>
  </r>
  <r>
    <x v="78"/>
    <n v="20"/>
    <x v="0"/>
    <x v="69"/>
    <x v="70"/>
    <x v="2"/>
    <s v="Migraine"/>
    <x v="0"/>
    <n v="9333"/>
    <x v="0"/>
    <x v="1"/>
    <n v="2"/>
    <s v="Standard"/>
  </r>
  <r>
    <x v="79"/>
    <n v="53"/>
    <x v="1"/>
    <x v="70"/>
    <x v="71"/>
    <x v="0"/>
    <s v="Fracture"/>
    <x v="3"/>
    <n v="58809"/>
    <x v="1"/>
    <x v="1"/>
    <n v="9"/>
    <s v="High"/>
  </r>
  <r>
    <x v="80"/>
    <n v="71"/>
    <x v="1"/>
    <x v="71"/>
    <x v="72"/>
    <x v="1"/>
    <s v="Diabetes"/>
    <x v="3"/>
    <n v="21747"/>
    <x v="1"/>
    <x v="0"/>
    <n v="9"/>
    <s v="Standard"/>
  </r>
  <r>
    <x v="81"/>
    <n v="41"/>
    <x v="1"/>
    <x v="62"/>
    <x v="73"/>
    <x v="3"/>
    <s v="Migraine"/>
    <x v="3"/>
    <n v="62048"/>
    <x v="1"/>
    <x v="2"/>
    <n v="8"/>
    <s v="High"/>
  </r>
  <r>
    <x v="82"/>
    <n v="75"/>
    <x v="1"/>
    <x v="49"/>
    <x v="74"/>
    <x v="3"/>
    <s v="Migraine"/>
    <x v="3"/>
    <n v="72482"/>
    <x v="0"/>
    <x v="2"/>
    <n v="7"/>
    <s v="High"/>
  </r>
  <r>
    <x v="83"/>
    <n v="60"/>
    <x v="0"/>
    <x v="8"/>
    <x v="75"/>
    <x v="2"/>
    <s v="Migraine"/>
    <x v="0"/>
    <n v="89285"/>
    <x v="1"/>
    <x v="2"/>
    <n v="10"/>
    <s v="High"/>
  </r>
  <r>
    <x v="84"/>
    <n v="53"/>
    <x v="1"/>
    <x v="38"/>
    <x v="76"/>
    <x v="4"/>
    <s v="Fever"/>
    <x v="2"/>
    <n v="53984"/>
    <x v="1"/>
    <x v="0"/>
    <n v="9"/>
    <s v="High"/>
  </r>
  <r>
    <x v="85"/>
    <n v="64"/>
    <x v="1"/>
    <x v="40"/>
    <x v="77"/>
    <x v="2"/>
    <s v="Migraine"/>
    <x v="2"/>
    <n v="27017"/>
    <x v="0"/>
    <x v="2"/>
    <n v="10"/>
    <s v="Standard"/>
  </r>
  <r>
    <x v="86"/>
    <n v="64"/>
    <x v="0"/>
    <x v="72"/>
    <x v="78"/>
    <x v="3"/>
    <s v="Fever"/>
    <x v="0"/>
    <n v="8591"/>
    <x v="1"/>
    <x v="2"/>
    <n v="9"/>
    <s v="Standard"/>
  </r>
  <r>
    <x v="87"/>
    <n v="36"/>
    <x v="1"/>
    <x v="21"/>
    <x v="79"/>
    <x v="0"/>
    <s v="Heart Disease"/>
    <x v="1"/>
    <n v="77463"/>
    <x v="0"/>
    <x v="0"/>
    <n v="9"/>
    <s v="High"/>
  </r>
  <r>
    <x v="88"/>
    <n v="61"/>
    <x v="0"/>
    <x v="73"/>
    <x v="28"/>
    <x v="3"/>
    <s v="Fracture"/>
    <x v="2"/>
    <n v="15053"/>
    <x v="1"/>
    <x v="2"/>
    <n v="5"/>
    <s v="Standard"/>
  </r>
  <r>
    <x v="89"/>
    <n v="33"/>
    <x v="1"/>
    <x v="74"/>
    <x v="80"/>
    <x v="3"/>
    <s v="Diabetes"/>
    <x v="1"/>
    <n v="39457"/>
    <x v="0"/>
    <x v="2"/>
    <n v="2"/>
    <s v="Standard"/>
  </r>
  <r>
    <x v="90"/>
    <n v="47"/>
    <x v="0"/>
    <x v="75"/>
    <x v="81"/>
    <x v="2"/>
    <s v="Migraine"/>
    <x v="4"/>
    <n v="53255"/>
    <x v="0"/>
    <x v="1"/>
    <n v="10"/>
    <s v="High"/>
  </r>
  <r>
    <x v="91"/>
    <n v="63"/>
    <x v="0"/>
    <x v="76"/>
    <x v="82"/>
    <x v="0"/>
    <s v="Fever"/>
    <x v="4"/>
    <n v="43969"/>
    <x v="1"/>
    <x v="2"/>
    <n v="7"/>
    <s v="Standard"/>
  </r>
  <r>
    <x v="92"/>
    <n v="23"/>
    <x v="0"/>
    <x v="77"/>
    <x v="83"/>
    <x v="2"/>
    <s v="Migraine"/>
    <x v="2"/>
    <n v="97834"/>
    <x v="1"/>
    <x v="1"/>
    <n v="9"/>
    <s v="High"/>
  </r>
  <r>
    <x v="93"/>
    <n v="31"/>
    <x v="0"/>
    <x v="78"/>
    <x v="84"/>
    <x v="2"/>
    <s v="Diabetes"/>
    <x v="3"/>
    <n v="36970"/>
    <x v="0"/>
    <x v="1"/>
    <n v="8"/>
    <s v="Standard"/>
  </r>
  <r>
    <x v="94"/>
    <n v="57"/>
    <x v="1"/>
    <x v="79"/>
    <x v="56"/>
    <x v="1"/>
    <s v="Fracture"/>
    <x v="2"/>
    <n v="48656"/>
    <x v="0"/>
    <x v="2"/>
    <n v="1"/>
    <s v="Standard"/>
  </r>
  <r>
    <x v="95"/>
    <n v="61"/>
    <x v="1"/>
    <x v="80"/>
    <x v="85"/>
    <x v="2"/>
    <s v="Migraine"/>
    <x v="1"/>
    <n v="35538"/>
    <x v="0"/>
    <x v="2"/>
    <n v="5"/>
    <s v="Standard"/>
  </r>
  <r>
    <x v="96"/>
    <n v="19"/>
    <x v="0"/>
    <x v="81"/>
    <x v="86"/>
    <x v="2"/>
    <s v="Heart Disease"/>
    <x v="2"/>
    <n v="76289"/>
    <x v="1"/>
    <x v="1"/>
    <n v="3"/>
    <s v="High"/>
  </r>
  <r>
    <x v="97"/>
    <n v="21"/>
    <x v="1"/>
    <x v="82"/>
    <x v="87"/>
    <x v="1"/>
    <s v="Heart Disease"/>
    <x v="1"/>
    <n v="25096"/>
    <x v="0"/>
    <x v="1"/>
    <n v="2"/>
    <s v="Standard"/>
  </r>
  <r>
    <x v="98"/>
    <n v="36"/>
    <x v="1"/>
    <x v="83"/>
    <x v="52"/>
    <x v="3"/>
    <s v="Diabetes"/>
    <x v="2"/>
    <n v="73741"/>
    <x v="1"/>
    <x v="0"/>
    <n v="3"/>
    <s v="High"/>
  </r>
  <r>
    <x v="99"/>
    <n v="66"/>
    <x v="0"/>
    <x v="84"/>
    <x v="71"/>
    <x v="1"/>
    <s v="Fracture"/>
    <x v="2"/>
    <n v="74846"/>
    <x v="1"/>
    <x v="0"/>
    <n v="3"/>
    <s v="High"/>
  </r>
  <r>
    <x v="100"/>
    <n v="76"/>
    <x v="0"/>
    <x v="21"/>
    <x v="88"/>
    <x v="3"/>
    <s v="Diabetes"/>
    <x v="1"/>
    <n v="59157"/>
    <x v="0"/>
    <x v="2"/>
    <n v="10"/>
    <s v="High"/>
  </r>
  <r>
    <x v="101"/>
    <n v="20"/>
    <x v="1"/>
    <x v="74"/>
    <x v="89"/>
    <x v="3"/>
    <s v="Diabetes"/>
    <x v="0"/>
    <n v="62933"/>
    <x v="1"/>
    <x v="1"/>
    <n v="4"/>
    <s v="High"/>
  </r>
  <r>
    <x v="102"/>
    <n v="31"/>
    <x v="0"/>
    <x v="85"/>
    <x v="90"/>
    <x v="0"/>
    <s v="Migraine"/>
    <x v="4"/>
    <n v="16676"/>
    <x v="1"/>
    <x v="1"/>
    <n v="1"/>
    <s v="Standard"/>
  </r>
  <r>
    <x v="103"/>
    <n v="46"/>
    <x v="1"/>
    <x v="86"/>
    <x v="91"/>
    <x v="4"/>
    <s v="Migraine"/>
    <x v="0"/>
    <n v="8332"/>
    <x v="1"/>
    <x v="0"/>
    <n v="6"/>
    <s v="Standard"/>
  </r>
  <r>
    <x v="104"/>
    <n v="39"/>
    <x v="1"/>
    <x v="87"/>
    <x v="55"/>
    <x v="4"/>
    <s v="Fever"/>
    <x v="2"/>
    <n v="56161"/>
    <x v="1"/>
    <x v="1"/>
    <n v="5"/>
    <s v="High"/>
  </r>
  <r>
    <x v="105"/>
    <n v="44"/>
    <x v="1"/>
    <x v="88"/>
    <x v="92"/>
    <x v="0"/>
    <s v="Fracture"/>
    <x v="4"/>
    <n v="85533"/>
    <x v="0"/>
    <x v="1"/>
    <n v="4"/>
    <s v="High"/>
  </r>
  <r>
    <x v="106"/>
    <n v="19"/>
    <x v="1"/>
    <x v="89"/>
    <x v="93"/>
    <x v="0"/>
    <s v="Diabetes"/>
    <x v="1"/>
    <n v="27094"/>
    <x v="0"/>
    <x v="2"/>
    <n v="1"/>
    <s v="Standard"/>
  </r>
  <r>
    <x v="107"/>
    <n v="19"/>
    <x v="0"/>
    <x v="2"/>
    <x v="94"/>
    <x v="1"/>
    <s v="Migraine"/>
    <x v="4"/>
    <n v="46560"/>
    <x v="1"/>
    <x v="1"/>
    <n v="7"/>
    <s v="Standard"/>
  </r>
  <r>
    <x v="108"/>
    <n v="46"/>
    <x v="1"/>
    <x v="90"/>
    <x v="95"/>
    <x v="2"/>
    <s v="Fracture"/>
    <x v="0"/>
    <n v="31608"/>
    <x v="1"/>
    <x v="0"/>
    <n v="7"/>
    <s v="Standard"/>
  </r>
  <r>
    <x v="109"/>
    <n v="56"/>
    <x v="0"/>
    <x v="86"/>
    <x v="28"/>
    <x v="0"/>
    <s v="Fever"/>
    <x v="0"/>
    <n v="20663"/>
    <x v="0"/>
    <x v="2"/>
    <n v="2"/>
    <s v="Standard"/>
  </r>
  <r>
    <x v="110"/>
    <n v="50"/>
    <x v="1"/>
    <x v="91"/>
    <x v="96"/>
    <x v="2"/>
    <s v="Fracture"/>
    <x v="0"/>
    <n v="39173"/>
    <x v="0"/>
    <x v="0"/>
    <n v="4"/>
    <s v="Standard"/>
  </r>
  <r>
    <x v="111"/>
    <n v="71"/>
    <x v="0"/>
    <x v="92"/>
    <x v="97"/>
    <x v="2"/>
    <s v="Migraine"/>
    <x v="0"/>
    <n v="10073"/>
    <x v="0"/>
    <x v="0"/>
    <n v="8"/>
    <s v="Standard"/>
  </r>
  <r>
    <x v="112"/>
    <n v="56"/>
    <x v="1"/>
    <x v="93"/>
    <x v="98"/>
    <x v="1"/>
    <s v="Diabetes"/>
    <x v="1"/>
    <n v="62753"/>
    <x v="0"/>
    <x v="1"/>
    <n v="8"/>
    <s v="High"/>
  </r>
  <r>
    <x v="113"/>
    <n v="77"/>
    <x v="1"/>
    <x v="94"/>
    <x v="99"/>
    <x v="1"/>
    <s v="Fracture"/>
    <x v="2"/>
    <n v="83217"/>
    <x v="1"/>
    <x v="2"/>
    <n v="8"/>
    <s v="High"/>
  </r>
  <r>
    <x v="114"/>
    <n v="55"/>
    <x v="0"/>
    <x v="88"/>
    <x v="23"/>
    <x v="3"/>
    <s v="Migraine"/>
    <x v="2"/>
    <n v="18105"/>
    <x v="1"/>
    <x v="1"/>
    <n v="7"/>
    <s v="Standard"/>
  </r>
  <r>
    <x v="115"/>
    <n v="53"/>
    <x v="1"/>
    <x v="95"/>
    <x v="100"/>
    <x v="4"/>
    <s v="Fracture"/>
    <x v="3"/>
    <n v="8926"/>
    <x v="1"/>
    <x v="1"/>
    <n v="10"/>
    <s v="Standard"/>
  </r>
  <r>
    <x v="116"/>
    <n v="74"/>
    <x v="0"/>
    <x v="80"/>
    <x v="84"/>
    <x v="2"/>
    <s v="Diabetes"/>
    <x v="1"/>
    <n v="49888"/>
    <x v="1"/>
    <x v="2"/>
    <n v="9"/>
    <s v="Standard"/>
  </r>
  <r>
    <x v="117"/>
    <n v="55"/>
    <x v="0"/>
    <x v="96"/>
    <x v="101"/>
    <x v="4"/>
    <s v="Fever"/>
    <x v="4"/>
    <n v="95706"/>
    <x v="1"/>
    <x v="1"/>
    <n v="8"/>
    <s v="High"/>
  </r>
  <r>
    <x v="118"/>
    <n v="37"/>
    <x v="1"/>
    <x v="34"/>
    <x v="102"/>
    <x v="2"/>
    <s v="Fracture"/>
    <x v="2"/>
    <n v="61684"/>
    <x v="1"/>
    <x v="0"/>
    <n v="2"/>
    <s v="High"/>
  </r>
  <r>
    <x v="119"/>
    <n v="50"/>
    <x v="1"/>
    <x v="97"/>
    <x v="103"/>
    <x v="3"/>
    <s v="Fracture"/>
    <x v="0"/>
    <n v="37151"/>
    <x v="1"/>
    <x v="1"/>
    <n v="9"/>
    <s v="Standard"/>
  </r>
  <r>
    <x v="120"/>
    <n v="42"/>
    <x v="1"/>
    <x v="98"/>
    <x v="104"/>
    <x v="0"/>
    <s v="Migraine"/>
    <x v="4"/>
    <n v="60702"/>
    <x v="1"/>
    <x v="1"/>
    <n v="2"/>
    <s v="High"/>
  </r>
  <r>
    <x v="121"/>
    <n v="44"/>
    <x v="1"/>
    <x v="27"/>
    <x v="105"/>
    <x v="3"/>
    <s v="Fever"/>
    <x v="4"/>
    <n v="79656"/>
    <x v="0"/>
    <x v="0"/>
    <n v="3"/>
    <s v="High"/>
  </r>
  <r>
    <x v="122"/>
    <n v="26"/>
    <x v="0"/>
    <x v="99"/>
    <x v="106"/>
    <x v="3"/>
    <s v="Diabetes"/>
    <x v="2"/>
    <n v="42878"/>
    <x v="0"/>
    <x v="1"/>
    <n v="6"/>
    <s v="Standard"/>
  </r>
  <r>
    <x v="123"/>
    <n v="46"/>
    <x v="1"/>
    <x v="78"/>
    <x v="22"/>
    <x v="1"/>
    <s v="Diabetes"/>
    <x v="3"/>
    <n v="23009"/>
    <x v="1"/>
    <x v="2"/>
    <n v="6"/>
    <s v="Standard"/>
  </r>
  <r>
    <x v="124"/>
    <n v="19"/>
    <x v="1"/>
    <x v="100"/>
    <x v="14"/>
    <x v="1"/>
    <s v="Fracture"/>
    <x v="4"/>
    <n v="89029"/>
    <x v="1"/>
    <x v="2"/>
    <n v="4"/>
    <s v="High"/>
  </r>
  <r>
    <x v="125"/>
    <n v="71"/>
    <x v="1"/>
    <x v="50"/>
    <x v="107"/>
    <x v="1"/>
    <s v="Fracture"/>
    <x v="2"/>
    <n v="8104"/>
    <x v="1"/>
    <x v="2"/>
    <n v="6"/>
    <s v="Standard"/>
  </r>
  <r>
    <x v="126"/>
    <n v="49"/>
    <x v="0"/>
    <x v="101"/>
    <x v="76"/>
    <x v="3"/>
    <s v="Migraine"/>
    <x v="1"/>
    <n v="40150"/>
    <x v="1"/>
    <x v="2"/>
    <n v="10"/>
    <s v="Standard"/>
  </r>
  <r>
    <x v="127"/>
    <n v="60"/>
    <x v="1"/>
    <x v="102"/>
    <x v="108"/>
    <x v="4"/>
    <s v="Fracture"/>
    <x v="4"/>
    <n v="84877"/>
    <x v="0"/>
    <x v="0"/>
    <n v="10"/>
    <s v="High"/>
  </r>
  <r>
    <x v="128"/>
    <n v="69"/>
    <x v="1"/>
    <x v="55"/>
    <x v="109"/>
    <x v="0"/>
    <s v="Diabetes"/>
    <x v="2"/>
    <n v="56038"/>
    <x v="1"/>
    <x v="1"/>
    <n v="5"/>
    <s v="High"/>
  </r>
  <r>
    <x v="129"/>
    <n v="62"/>
    <x v="0"/>
    <x v="103"/>
    <x v="30"/>
    <x v="1"/>
    <s v="Migraine"/>
    <x v="4"/>
    <n v="63356"/>
    <x v="1"/>
    <x v="0"/>
    <n v="10"/>
    <s v="High"/>
  </r>
  <r>
    <x v="130"/>
    <n v="39"/>
    <x v="0"/>
    <x v="104"/>
    <x v="110"/>
    <x v="4"/>
    <s v="Heart Disease"/>
    <x v="4"/>
    <n v="20856"/>
    <x v="1"/>
    <x v="1"/>
    <n v="1"/>
    <s v="Standard"/>
  </r>
  <r>
    <x v="131"/>
    <n v="71"/>
    <x v="1"/>
    <x v="105"/>
    <x v="3"/>
    <x v="0"/>
    <s v="Fever"/>
    <x v="2"/>
    <n v="59923"/>
    <x v="1"/>
    <x v="2"/>
    <n v="10"/>
    <s v="High"/>
  </r>
  <r>
    <x v="132"/>
    <n v="18"/>
    <x v="0"/>
    <x v="106"/>
    <x v="111"/>
    <x v="3"/>
    <s v="Heart Disease"/>
    <x v="1"/>
    <n v="66788"/>
    <x v="0"/>
    <x v="0"/>
    <n v="2"/>
    <s v="High"/>
  </r>
  <r>
    <x v="133"/>
    <n v="52"/>
    <x v="0"/>
    <x v="107"/>
    <x v="112"/>
    <x v="0"/>
    <s v="Fever"/>
    <x v="4"/>
    <n v="99057"/>
    <x v="1"/>
    <x v="2"/>
    <n v="1"/>
    <s v="High"/>
  </r>
  <r>
    <x v="134"/>
    <n v="43"/>
    <x v="0"/>
    <x v="108"/>
    <x v="113"/>
    <x v="4"/>
    <s v="Migraine"/>
    <x v="2"/>
    <n v="50695"/>
    <x v="0"/>
    <x v="2"/>
    <n v="10"/>
    <s v="High"/>
  </r>
  <r>
    <x v="135"/>
    <n v="33"/>
    <x v="0"/>
    <x v="109"/>
    <x v="114"/>
    <x v="1"/>
    <s v="Heart Disease"/>
    <x v="0"/>
    <n v="12679"/>
    <x v="1"/>
    <x v="0"/>
    <n v="1"/>
    <s v="Standard"/>
  </r>
  <r>
    <x v="136"/>
    <n v="50"/>
    <x v="0"/>
    <x v="110"/>
    <x v="115"/>
    <x v="1"/>
    <s v="Heart Disease"/>
    <x v="0"/>
    <n v="77265"/>
    <x v="1"/>
    <x v="2"/>
    <n v="9"/>
    <s v="High"/>
  </r>
  <r>
    <x v="137"/>
    <n v="70"/>
    <x v="0"/>
    <x v="111"/>
    <x v="116"/>
    <x v="3"/>
    <s v="Heart Disease"/>
    <x v="3"/>
    <n v="97728"/>
    <x v="1"/>
    <x v="2"/>
    <n v="10"/>
    <s v="High"/>
  </r>
  <r>
    <x v="138"/>
    <n v="28"/>
    <x v="1"/>
    <x v="112"/>
    <x v="117"/>
    <x v="3"/>
    <s v="Migraine"/>
    <x v="2"/>
    <n v="68993"/>
    <x v="0"/>
    <x v="0"/>
    <n v="1"/>
    <s v="High"/>
  </r>
  <r>
    <x v="139"/>
    <n v="27"/>
    <x v="1"/>
    <x v="113"/>
    <x v="63"/>
    <x v="3"/>
    <s v="Heart Disease"/>
    <x v="1"/>
    <n v="34807"/>
    <x v="0"/>
    <x v="1"/>
    <n v="8"/>
    <s v="Standard"/>
  </r>
  <r>
    <x v="140"/>
    <n v="65"/>
    <x v="0"/>
    <x v="114"/>
    <x v="118"/>
    <x v="0"/>
    <s v="Heart Disease"/>
    <x v="0"/>
    <n v="51523"/>
    <x v="1"/>
    <x v="1"/>
    <n v="4"/>
    <s v="High"/>
  </r>
  <r>
    <x v="141"/>
    <n v="40"/>
    <x v="0"/>
    <x v="115"/>
    <x v="119"/>
    <x v="3"/>
    <s v="Migraine"/>
    <x v="1"/>
    <n v="11645"/>
    <x v="1"/>
    <x v="0"/>
    <n v="9"/>
    <s v="Standard"/>
  </r>
  <r>
    <x v="142"/>
    <n v="38"/>
    <x v="0"/>
    <x v="116"/>
    <x v="120"/>
    <x v="2"/>
    <s v="Migraine"/>
    <x v="3"/>
    <n v="90734"/>
    <x v="0"/>
    <x v="1"/>
    <n v="2"/>
    <s v="High"/>
  </r>
  <r>
    <x v="143"/>
    <n v="24"/>
    <x v="1"/>
    <x v="71"/>
    <x v="121"/>
    <x v="3"/>
    <s v="Diabetes"/>
    <x v="0"/>
    <n v="20683"/>
    <x v="0"/>
    <x v="1"/>
    <n v="2"/>
    <s v="Standard"/>
  </r>
  <r>
    <x v="144"/>
    <n v="39"/>
    <x v="1"/>
    <x v="117"/>
    <x v="122"/>
    <x v="2"/>
    <s v="Fever"/>
    <x v="4"/>
    <n v="7704"/>
    <x v="0"/>
    <x v="2"/>
    <n v="9"/>
    <s v="Standard"/>
  </r>
  <r>
    <x v="145"/>
    <n v="47"/>
    <x v="0"/>
    <x v="118"/>
    <x v="123"/>
    <x v="0"/>
    <s v="Heart Disease"/>
    <x v="1"/>
    <n v="26457"/>
    <x v="1"/>
    <x v="1"/>
    <n v="7"/>
    <s v="Standard"/>
  </r>
  <r>
    <x v="146"/>
    <n v="30"/>
    <x v="0"/>
    <x v="119"/>
    <x v="124"/>
    <x v="0"/>
    <s v="Diabetes"/>
    <x v="4"/>
    <n v="96123"/>
    <x v="0"/>
    <x v="0"/>
    <n v="6"/>
    <s v="High"/>
  </r>
  <r>
    <x v="147"/>
    <n v="67"/>
    <x v="0"/>
    <x v="120"/>
    <x v="93"/>
    <x v="0"/>
    <s v="Diabetes"/>
    <x v="3"/>
    <n v="21829"/>
    <x v="0"/>
    <x v="0"/>
    <n v="6"/>
    <s v="Standard"/>
  </r>
  <r>
    <x v="148"/>
    <n v="54"/>
    <x v="1"/>
    <x v="121"/>
    <x v="125"/>
    <x v="1"/>
    <s v="Fever"/>
    <x v="4"/>
    <n v="62989"/>
    <x v="0"/>
    <x v="0"/>
    <n v="10"/>
    <s v="High"/>
  </r>
  <r>
    <x v="149"/>
    <n v="69"/>
    <x v="0"/>
    <x v="122"/>
    <x v="126"/>
    <x v="2"/>
    <s v="Migraine"/>
    <x v="4"/>
    <n v="93826"/>
    <x v="0"/>
    <x v="2"/>
    <n v="8"/>
    <s v="High"/>
  </r>
  <r>
    <x v="150"/>
    <n v="47"/>
    <x v="1"/>
    <x v="123"/>
    <x v="56"/>
    <x v="3"/>
    <s v="Migraine"/>
    <x v="1"/>
    <n v="93829"/>
    <x v="1"/>
    <x v="2"/>
    <n v="5"/>
    <s v="High"/>
  </r>
  <r>
    <x v="151"/>
    <n v="68"/>
    <x v="0"/>
    <x v="124"/>
    <x v="1"/>
    <x v="4"/>
    <s v="Diabetes"/>
    <x v="1"/>
    <n v="44623"/>
    <x v="1"/>
    <x v="0"/>
    <n v="8"/>
    <s v="Standard"/>
  </r>
  <r>
    <x v="152"/>
    <n v="73"/>
    <x v="1"/>
    <x v="125"/>
    <x v="127"/>
    <x v="4"/>
    <s v="Fever"/>
    <x v="1"/>
    <n v="83866"/>
    <x v="0"/>
    <x v="0"/>
    <n v="4"/>
    <s v="High"/>
  </r>
  <r>
    <x v="153"/>
    <n v="51"/>
    <x v="0"/>
    <x v="103"/>
    <x v="128"/>
    <x v="1"/>
    <s v="Fracture"/>
    <x v="3"/>
    <n v="51034"/>
    <x v="1"/>
    <x v="2"/>
    <n v="1"/>
    <s v="High"/>
  </r>
  <r>
    <x v="154"/>
    <n v="65"/>
    <x v="0"/>
    <x v="126"/>
    <x v="85"/>
    <x v="0"/>
    <s v="Migraine"/>
    <x v="0"/>
    <n v="72385"/>
    <x v="1"/>
    <x v="2"/>
    <n v="2"/>
    <s v="High"/>
  </r>
  <r>
    <x v="155"/>
    <n v="79"/>
    <x v="1"/>
    <x v="86"/>
    <x v="129"/>
    <x v="1"/>
    <s v="Heart Disease"/>
    <x v="4"/>
    <n v="68353"/>
    <x v="0"/>
    <x v="1"/>
    <n v="1"/>
    <s v="High"/>
  </r>
  <r>
    <x v="156"/>
    <n v="62"/>
    <x v="0"/>
    <x v="127"/>
    <x v="130"/>
    <x v="1"/>
    <s v="Migraine"/>
    <x v="1"/>
    <n v="7440"/>
    <x v="1"/>
    <x v="1"/>
    <n v="1"/>
    <s v="Standard"/>
  </r>
  <r>
    <x v="157"/>
    <n v="57"/>
    <x v="0"/>
    <x v="128"/>
    <x v="131"/>
    <x v="3"/>
    <s v="Heart Disease"/>
    <x v="4"/>
    <n v="55138"/>
    <x v="1"/>
    <x v="1"/>
    <n v="3"/>
    <s v="High"/>
  </r>
  <r>
    <x v="158"/>
    <n v="46"/>
    <x v="0"/>
    <x v="100"/>
    <x v="132"/>
    <x v="3"/>
    <s v="Fever"/>
    <x v="2"/>
    <n v="71028"/>
    <x v="1"/>
    <x v="1"/>
    <n v="7"/>
    <s v="High"/>
  </r>
  <r>
    <x v="159"/>
    <n v="23"/>
    <x v="0"/>
    <x v="129"/>
    <x v="117"/>
    <x v="1"/>
    <s v="Heart Disease"/>
    <x v="2"/>
    <n v="69419"/>
    <x v="0"/>
    <x v="0"/>
    <n v="4"/>
    <s v="High"/>
  </r>
  <r>
    <x v="160"/>
    <n v="46"/>
    <x v="1"/>
    <x v="93"/>
    <x v="17"/>
    <x v="0"/>
    <s v="Diabetes"/>
    <x v="2"/>
    <n v="89164"/>
    <x v="0"/>
    <x v="2"/>
    <n v="5"/>
    <s v="High"/>
  </r>
  <r>
    <x v="161"/>
    <n v="70"/>
    <x v="0"/>
    <x v="130"/>
    <x v="60"/>
    <x v="2"/>
    <s v="Diabetes"/>
    <x v="0"/>
    <n v="71049"/>
    <x v="1"/>
    <x v="2"/>
    <n v="6"/>
    <s v="High"/>
  </r>
  <r>
    <x v="162"/>
    <n v="53"/>
    <x v="0"/>
    <x v="82"/>
    <x v="133"/>
    <x v="0"/>
    <s v="Fever"/>
    <x v="3"/>
    <n v="69949"/>
    <x v="0"/>
    <x v="0"/>
    <n v="3"/>
    <s v="High"/>
  </r>
  <r>
    <x v="163"/>
    <n v="80"/>
    <x v="0"/>
    <x v="131"/>
    <x v="54"/>
    <x v="3"/>
    <s v="Heart Disease"/>
    <x v="4"/>
    <n v="45265"/>
    <x v="0"/>
    <x v="1"/>
    <n v="8"/>
    <s v="Standard"/>
  </r>
  <r>
    <x v="164"/>
    <n v="69"/>
    <x v="0"/>
    <x v="132"/>
    <x v="134"/>
    <x v="2"/>
    <s v="Heart Disease"/>
    <x v="2"/>
    <n v="84084"/>
    <x v="1"/>
    <x v="2"/>
    <n v="1"/>
    <s v="High"/>
  </r>
  <r>
    <x v="165"/>
    <n v="31"/>
    <x v="0"/>
    <x v="94"/>
    <x v="99"/>
    <x v="4"/>
    <s v="Fracture"/>
    <x v="0"/>
    <n v="29470"/>
    <x v="0"/>
    <x v="2"/>
    <n v="8"/>
    <s v="Standard"/>
  </r>
  <r>
    <x v="166"/>
    <n v="57"/>
    <x v="0"/>
    <x v="133"/>
    <x v="11"/>
    <x v="1"/>
    <s v="Fracture"/>
    <x v="4"/>
    <n v="60360"/>
    <x v="1"/>
    <x v="1"/>
    <n v="9"/>
    <s v="High"/>
  </r>
  <r>
    <x v="167"/>
    <n v="57"/>
    <x v="1"/>
    <x v="134"/>
    <x v="135"/>
    <x v="3"/>
    <s v="Fracture"/>
    <x v="4"/>
    <n v="48511"/>
    <x v="1"/>
    <x v="1"/>
    <n v="3"/>
    <s v="Standard"/>
  </r>
  <r>
    <x v="168"/>
    <n v="23"/>
    <x v="0"/>
    <x v="135"/>
    <x v="136"/>
    <x v="2"/>
    <s v="Heart Disease"/>
    <x v="4"/>
    <n v="99009"/>
    <x v="0"/>
    <x v="0"/>
    <n v="6"/>
    <s v="High"/>
  </r>
  <r>
    <x v="169"/>
    <n v="21"/>
    <x v="1"/>
    <x v="136"/>
    <x v="93"/>
    <x v="2"/>
    <s v="Fever"/>
    <x v="0"/>
    <n v="36154"/>
    <x v="0"/>
    <x v="1"/>
    <n v="5"/>
    <s v="Standard"/>
  </r>
  <r>
    <x v="170"/>
    <n v="32"/>
    <x v="0"/>
    <x v="137"/>
    <x v="54"/>
    <x v="2"/>
    <s v="Diabetes"/>
    <x v="3"/>
    <n v="55287"/>
    <x v="1"/>
    <x v="0"/>
    <n v="7"/>
    <s v="High"/>
  </r>
  <r>
    <x v="171"/>
    <n v="43"/>
    <x v="0"/>
    <x v="138"/>
    <x v="137"/>
    <x v="0"/>
    <s v="Fracture"/>
    <x v="1"/>
    <n v="10914"/>
    <x v="1"/>
    <x v="1"/>
    <n v="9"/>
    <s v="Standard"/>
  </r>
  <r>
    <x v="172"/>
    <n v="60"/>
    <x v="0"/>
    <x v="139"/>
    <x v="72"/>
    <x v="3"/>
    <s v="Migraine"/>
    <x v="2"/>
    <n v="61284"/>
    <x v="0"/>
    <x v="0"/>
    <n v="6"/>
    <s v="High"/>
  </r>
  <r>
    <x v="173"/>
    <n v="45"/>
    <x v="0"/>
    <x v="14"/>
    <x v="138"/>
    <x v="0"/>
    <s v="Migraine"/>
    <x v="4"/>
    <n v="76675"/>
    <x v="1"/>
    <x v="2"/>
    <n v="5"/>
    <s v="High"/>
  </r>
  <r>
    <x v="174"/>
    <n v="28"/>
    <x v="0"/>
    <x v="140"/>
    <x v="139"/>
    <x v="4"/>
    <s v="Heart Disease"/>
    <x v="1"/>
    <n v="99992"/>
    <x v="0"/>
    <x v="0"/>
    <n v="2"/>
    <s v="High"/>
  </r>
  <r>
    <x v="175"/>
    <n v="50"/>
    <x v="1"/>
    <x v="81"/>
    <x v="140"/>
    <x v="3"/>
    <s v="Fever"/>
    <x v="1"/>
    <n v="25715"/>
    <x v="1"/>
    <x v="1"/>
    <n v="5"/>
    <s v="Standard"/>
  </r>
  <r>
    <x v="176"/>
    <n v="55"/>
    <x v="1"/>
    <x v="111"/>
    <x v="141"/>
    <x v="3"/>
    <s v="Heart Disease"/>
    <x v="2"/>
    <n v="8621"/>
    <x v="1"/>
    <x v="2"/>
    <n v="7"/>
    <s v="Standard"/>
  </r>
  <r>
    <x v="177"/>
    <n v="77"/>
    <x v="1"/>
    <x v="45"/>
    <x v="142"/>
    <x v="4"/>
    <s v="Fracture"/>
    <x v="2"/>
    <n v="66458"/>
    <x v="1"/>
    <x v="0"/>
    <n v="7"/>
    <s v="High"/>
  </r>
  <r>
    <x v="178"/>
    <n v="60"/>
    <x v="1"/>
    <x v="141"/>
    <x v="23"/>
    <x v="4"/>
    <s v="Fever"/>
    <x v="4"/>
    <n v="92900"/>
    <x v="1"/>
    <x v="0"/>
    <n v="4"/>
    <s v="High"/>
  </r>
  <r>
    <x v="179"/>
    <n v="43"/>
    <x v="1"/>
    <x v="142"/>
    <x v="143"/>
    <x v="2"/>
    <s v="Fever"/>
    <x v="2"/>
    <n v="46908"/>
    <x v="1"/>
    <x v="1"/>
    <n v="8"/>
    <s v="Standard"/>
  </r>
  <r>
    <x v="180"/>
    <n v="40"/>
    <x v="1"/>
    <x v="143"/>
    <x v="144"/>
    <x v="3"/>
    <s v="Fracture"/>
    <x v="3"/>
    <n v="21286"/>
    <x v="0"/>
    <x v="2"/>
    <n v="10"/>
    <s v="Standard"/>
  </r>
  <r>
    <x v="181"/>
    <n v="74"/>
    <x v="1"/>
    <x v="144"/>
    <x v="145"/>
    <x v="4"/>
    <s v="Migraine"/>
    <x v="4"/>
    <n v="48217"/>
    <x v="0"/>
    <x v="2"/>
    <n v="5"/>
    <s v="Standard"/>
  </r>
  <r>
    <x v="182"/>
    <n v="42"/>
    <x v="1"/>
    <x v="26"/>
    <x v="129"/>
    <x v="0"/>
    <s v="Fever"/>
    <x v="1"/>
    <n v="77201"/>
    <x v="0"/>
    <x v="2"/>
    <n v="3"/>
    <s v="High"/>
  </r>
  <r>
    <x v="183"/>
    <n v="54"/>
    <x v="1"/>
    <x v="145"/>
    <x v="146"/>
    <x v="1"/>
    <s v="Fever"/>
    <x v="0"/>
    <n v="10593"/>
    <x v="1"/>
    <x v="0"/>
    <n v="4"/>
    <s v="Standard"/>
  </r>
  <r>
    <x v="184"/>
    <n v="29"/>
    <x v="1"/>
    <x v="119"/>
    <x v="59"/>
    <x v="3"/>
    <s v="Fracture"/>
    <x v="4"/>
    <n v="18369"/>
    <x v="1"/>
    <x v="2"/>
    <n v="1"/>
    <s v="Standard"/>
  </r>
  <r>
    <x v="185"/>
    <n v="34"/>
    <x v="1"/>
    <x v="146"/>
    <x v="20"/>
    <x v="0"/>
    <s v="Fracture"/>
    <x v="1"/>
    <n v="7275"/>
    <x v="1"/>
    <x v="0"/>
    <n v="10"/>
    <s v="Standard"/>
  </r>
  <r>
    <x v="186"/>
    <n v="72"/>
    <x v="1"/>
    <x v="147"/>
    <x v="147"/>
    <x v="0"/>
    <s v="Fracture"/>
    <x v="2"/>
    <n v="89513"/>
    <x v="1"/>
    <x v="0"/>
    <n v="1"/>
    <s v="High"/>
  </r>
  <r>
    <x v="187"/>
    <n v="68"/>
    <x v="0"/>
    <x v="90"/>
    <x v="148"/>
    <x v="1"/>
    <s v="Heart Disease"/>
    <x v="4"/>
    <n v="50639"/>
    <x v="1"/>
    <x v="2"/>
    <n v="9"/>
    <s v="High"/>
  </r>
  <r>
    <x v="188"/>
    <n v="61"/>
    <x v="1"/>
    <x v="148"/>
    <x v="149"/>
    <x v="3"/>
    <s v="Fever"/>
    <x v="0"/>
    <n v="51903"/>
    <x v="1"/>
    <x v="1"/>
    <n v="2"/>
    <s v="High"/>
  </r>
  <r>
    <x v="189"/>
    <n v="74"/>
    <x v="1"/>
    <x v="109"/>
    <x v="150"/>
    <x v="4"/>
    <s v="Fever"/>
    <x v="2"/>
    <n v="84317"/>
    <x v="1"/>
    <x v="2"/>
    <n v="6"/>
    <s v="High"/>
  </r>
  <r>
    <x v="190"/>
    <n v="51"/>
    <x v="0"/>
    <x v="6"/>
    <x v="151"/>
    <x v="3"/>
    <s v="Migraine"/>
    <x v="2"/>
    <n v="20814"/>
    <x v="1"/>
    <x v="1"/>
    <n v="9"/>
    <s v="Standard"/>
  </r>
  <r>
    <x v="191"/>
    <n v="64"/>
    <x v="0"/>
    <x v="149"/>
    <x v="152"/>
    <x v="2"/>
    <s v="Fracture"/>
    <x v="4"/>
    <n v="9411"/>
    <x v="0"/>
    <x v="2"/>
    <n v="1"/>
    <s v="Standard"/>
  </r>
  <r>
    <x v="192"/>
    <n v="79"/>
    <x v="1"/>
    <x v="150"/>
    <x v="153"/>
    <x v="1"/>
    <s v="Diabetes"/>
    <x v="1"/>
    <n v="16828"/>
    <x v="1"/>
    <x v="1"/>
    <n v="2"/>
    <s v="Standard"/>
  </r>
  <r>
    <x v="193"/>
    <n v="22"/>
    <x v="1"/>
    <x v="151"/>
    <x v="154"/>
    <x v="0"/>
    <s v="Heart Disease"/>
    <x v="1"/>
    <n v="76352"/>
    <x v="0"/>
    <x v="1"/>
    <n v="10"/>
    <s v="High"/>
  </r>
  <r>
    <x v="194"/>
    <n v="49"/>
    <x v="1"/>
    <x v="152"/>
    <x v="116"/>
    <x v="0"/>
    <s v="Fever"/>
    <x v="1"/>
    <n v="56860"/>
    <x v="1"/>
    <x v="2"/>
    <n v="2"/>
    <s v="High"/>
  </r>
  <r>
    <x v="195"/>
    <n v="39"/>
    <x v="0"/>
    <x v="153"/>
    <x v="65"/>
    <x v="3"/>
    <s v="Heart Disease"/>
    <x v="3"/>
    <n v="63986"/>
    <x v="1"/>
    <x v="0"/>
    <n v="9"/>
    <s v="High"/>
  </r>
  <r>
    <x v="196"/>
    <n v="23"/>
    <x v="1"/>
    <x v="154"/>
    <x v="155"/>
    <x v="2"/>
    <s v="Migraine"/>
    <x v="4"/>
    <n v="97092"/>
    <x v="0"/>
    <x v="2"/>
    <n v="7"/>
    <s v="High"/>
  </r>
  <r>
    <x v="197"/>
    <n v="44"/>
    <x v="0"/>
    <x v="155"/>
    <x v="156"/>
    <x v="2"/>
    <s v="Diabetes"/>
    <x v="1"/>
    <n v="96957"/>
    <x v="0"/>
    <x v="0"/>
    <n v="2"/>
    <s v="High"/>
  </r>
  <r>
    <x v="198"/>
    <n v="78"/>
    <x v="0"/>
    <x v="156"/>
    <x v="2"/>
    <x v="4"/>
    <s v="Migraine"/>
    <x v="4"/>
    <n v="98298"/>
    <x v="0"/>
    <x v="2"/>
    <n v="1"/>
    <s v="High"/>
  </r>
  <r>
    <x v="199"/>
    <n v="61"/>
    <x v="0"/>
    <x v="157"/>
    <x v="157"/>
    <x v="4"/>
    <s v="Migraine"/>
    <x v="4"/>
    <n v="89118"/>
    <x v="0"/>
    <x v="1"/>
    <n v="8"/>
    <s v="High"/>
  </r>
  <r>
    <x v="200"/>
    <n v="58"/>
    <x v="1"/>
    <x v="158"/>
    <x v="158"/>
    <x v="3"/>
    <s v="Diabetes"/>
    <x v="1"/>
    <n v="52777"/>
    <x v="0"/>
    <x v="1"/>
    <n v="9"/>
    <s v="High"/>
  </r>
  <r>
    <x v="201"/>
    <n v="34"/>
    <x v="0"/>
    <x v="159"/>
    <x v="72"/>
    <x v="1"/>
    <s v="Heart Disease"/>
    <x v="4"/>
    <n v="92696"/>
    <x v="1"/>
    <x v="0"/>
    <n v="3"/>
    <s v="High"/>
  </r>
  <r>
    <x v="202"/>
    <n v="24"/>
    <x v="0"/>
    <x v="160"/>
    <x v="6"/>
    <x v="2"/>
    <s v="Fracture"/>
    <x v="2"/>
    <n v="98695"/>
    <x v="0"/>
    <x v="0"/>
    <n v="5"/>
    <s v="High"/>
  </r>
  <r>
    <x v="203"/>
    <n v="55"/>
    <x v="0"/>
    <x v="112"/>
    <x v="99"/>
    <x v="1"/>
    <s v="Fever"/>
    <x v="3"/>
    <n v="17808"/>
    <x v="0"/>
    <x v="0"/>
    <n v="7"/>
    <s v="Standard"/>
  </r>
  <r>
    <x v="204"/>
    <n v="42"/>
    <x v="0"/>
    <x v="18"/>
    <x v="17"/>
    <x v="1"/>
    <s v="Fracture"/>
    <x v="2"/>
    <n v="90849"/>
    <x v="1"/>
    <x v="2"/>
    <n v="3"/>
    <s v="High"/>
  </r>
  <r>
    <x v="205"/>
    <n v="66"/>
    <x v="0"/>
    <x v="161"/>
    <x v="111"/>
    <x v="0"/>
    <s v="Heart Disease"/>
    <x v="4"/>
    <n v="12164"/>
    <x v="1"/>
    <x v="0"/>
    <n v="3"/>
    <s v="Standard"/>
  </r>
  <r>
    <x v="206"/>
    <n v="79"/>
    <x v="1"/>
    <x v="77"/>
    <x v="83"/>
    <x v="4"/>
    <s v="Fever"/>
    <x v="3"/>
    <n v="97186"/>
    <x v="1"/>
    <x v="0"/>
    <n v="9"/>
    <s v="High"/>
  </r>
  <r>
    <x v="207"/>
    <n v="33"/>
    <x v="1"/>
    <x v="162"/>
    <x v="159"/>
    <x v="3"/>
    <s v="Fever"/>
    <x v="3"/>
    <n v="53230"/>
    <x v="1"/>
    <x v="0"/>
    <n v="8"/>
    <s v="High"/>
  </r>
  <r>
    <x v="208"/>
    <n v="64"/>
    <x v="1"/>
    <x v="161"/>
    <x v="89"/>
    <x v="2"/>
    <s v="Heart Disease"/>
    <x v="0"/>
    <n v="38741"/>
    <x v="1"/>
    <x v="2"/>
    <n v="10"/>
    <s v="Standard"/>
  </r>
  <r>
    <x v="209"/>
    <n v="52"/>
    <x v="0"/>
    <x v="163"/>
    <x v="41"/>
    <x v="0"/>
    <s v="Heart Disease"/>
    <x v="4"/>
    <n v="71261"/>
    <x v="0"/>
    <x v="1"/>
    <n v="8"/>
    <s v="High"/>
  </r>
  <r>
    <x v="210"/>
    <n v="30"/>
    <x v="0"/>
    <x v="100"/>
    <x v="160"/>
    <x v="0"/>
    <s v="Fracture"/>
    <x v="3"/>
    <n v="41646"/>
    <x v="1"/>
    <x v="2"/>
    <n v="3"/>
    <s v="Standard"/>
  </r>
  <r>
    <x v="211"/>
    <n v="72"/>
    <x v="1"/>
    <x v="108"/>
    <x v="130"/>
    <x v="3"/>
    <s v="Fracture"/>
    <x v="0"/>
    <n v="65288"/>
    <x v="0"/>
    <x v="0"/>
    <n v="9"/>
    <s v="High"/>
  </r>
  <r>
    <x v="212"/>
    <n v="67"/>
    <x v="0"/>
    <x v="47"/>
    <x v="56"/>
    <x v="2"/>
    <s v="Fracture"/>
    <x v="4"/>
    <n v="58550"/>
    <x v="1"/>
    <x v="0"/>
    <n v="8"/>
    <s v="High"/>
  </r>
  <r>
    <x v="213"/>
    <n v="55"/>
    <x v="0"/>
    <x v="94"/>
    <x v="33"/>
    <x v="4"/>
    <s v="Fever"/>
    <x v="1"/>
    <n v="10178"/>
    <x v="0"/>
    <x v="2"/>
    <n v="7"/>
    <s v="Standard"/>
  </r>
  <r>
    <x v="214"/>
    <n v="56"/>
    <x v="1"/>
    <x v="0"/>
    <x v="161"/>
    <x v="0"/>
    <s v="Diabetes"/>
    <x v="4"/>
    <n v="53826"/>
    <x v="0"/>
    <x v="1"/>
    <n v="10"/>
    <s v="High"/>
  </r>
  <r>
    <x v="215"/>
    <n v="23"/>
    <x v="0"/>
    <x v="164"/>
    <x v="67"/>
    <x v="1"/>
    <s v="Diabetes"/>
    <x v="4"/>
    <n v="43451"/>
    <x v="1"/>
    <x v="0"/>
    <n v="9"/>
    <s v="Standard"/>
  </r>
  <r>
    <x v="216"/>
    <n v="40"/>
    <x v="0"/>
    <x v="165"/>
    <x v="162"/>
    <x v="3"/>
    <s v="Fracture"/>
    <x v="4"/>
    <n v="56642"/>
    <x v="0"/>
    <x v="1"/>
    <n v="4"/>
    <s v="High"/>
  </r>
  <r>
    <x v="217"/>
    <n v="63"/>
    <x v="1"/>
    <x v="81"/>
    <x v="163"/>
    <x v="1"/>
    <s v="Heart Disease"/>
    <x v="3"/>
    <n v="48177"/>
    <x v="1"/>
    <x v="2"/>
    <n v="9"/>
    <s v="Standard"/>
  </r>
  <r>
    <x v="218"/>
    <n v="49"/>
    <x v="0"/>
    <x v="56"/>
    <x v="107"/>
    <x v="3"/>
    <s v="Fever"/>
    <x v="2"/>
    <n v="94553"/>
    <x v="1"/>
    <x v="1"/>
    <n v="4"/>
    <s v="High"/>
  </r>
  <r>
    <x v="219"/>
    <n v="25"/>
    <x v="1"/>
    <x v="166"/>
    <x v="164"/>
    <x v="3"/>
    <s v="Diabetes"/>
    <x v="2"/>
    <n v="66607"/>
    <x v="0"/>
    <x v="0"/>
    <n v="2"/>
    <s v="High"/>
  </r>
  <r>
    <x v="220"/>
    <n v="22"/>
    <x v="0"/>
    <x v="167"/>
    <x v="132"/>
    <x v="1"/>
    <s v="Heart Disease"/>
    <x v="3"/>
    <n v="13659"/>
    <x v="0"/>
    <x v="1"/>
    <n v="6"/>
    <s v="Standard"/>
  </r>
  <r>
    <x v="221"/>
    <n v="50"/>
    <x v="1"/>
    <x v="142"/>
    <x v="113"/>
    <x v="1"/>
    <s v="Heart Disease"/>
    <x v="1"/>
    <n v="12055"/>
    <x v="0"/>
    <x v="2"/>
    <n v="3"/>
    <s v="Standard"/>
  </r>
  <r>
    <x v="222"/>
    <n v="34"/>
    <x v="1"/>
    <x v="168"/>
    <x v="95"/>
    <x v="0"/>
    <s v="Fracture"/>
    <x v="4"/>
    <n v="71999"/>
    <x v="1"/>
    <x v="1"/>
    <n v="4"/>
    <s v="High"/>
  </r>
  <r>
    <x v="223"/>
    <n v="40"/>
    <x v="0"/>
    <x v="85"/>
    <x v="90"/>
    <x v="1"/>
    <s v="Diabetes"/>
    <x v="1"/>
    <n v="57628"/>
    <x v="0"/>
    <x v="2"/>
    <n v="1"/>
    <s v="High"/>
  </r>
  <r>
    <x v="224"/>
    <n v="58"/>
    <x v="1"/>
    <x v="169"/>
    <x v="108"/>
    <x v="2"/>
    <s v="Diabetes"/>
    <x v="4"/>
    <n v="97282"/>
    <x v="0"/>
    <x v="1"/>
    <n v="4"/>
    <s v="High"/>
  </r>
  <r>
    <x v="225"/>
    <n v="73"/>
    <x v="1"/>
    <x v="22"/>
    <x v="42"/>
    <x v="2"/>
    <s v="Fever"/>
    <x v="0"/>
    <n v="93363"/>
    <x v="0"/>
    <x v="2"/>
    <n v="1"/>
    <s v="High"/>
  </r>
  <r>
    <x v="226"/>
    <n v="35"/>
    <x v="1"/>
    <x v="170"/>
    <x v="42"/>
    <x v="4"/>
    <s v="Migraine"/>
    <x v="4"/>
    <n v="74139"/>
    <x v="1"/>
    <x v="1"/>
    <n v="6"/>
    <s v="High"/>
  </r>
  <r>
    <x v="227"/>
    <n v="26"/>
    <x v="0"/>
    <x v="171"/>
    <x v="165"/>
    <x v="3"/>
    <s v="Fracture"/>
    <x v="1"/>
    <n v="82227"/>
    <x v="0"/>
    <x v="2"/>
    <n v="10"/>
    <s v="High"/>
  </r>
  <r>
    <x v="228"/>
    <n v="53"/>
    <x v="1"/>
    <x v="52"/>
    <x v="58"/>
    <x v="1"/>
    <s v="Fever"/>
    <x v="0"/>
    <n v="20093"/>
    <x v="1"/>
    <x v="1"/>
    <n v="9"/>
    <s v="Standard"/>
  </r>
  <r>
    <x v="229"/>
    <n v="71"/>
    <x v="1"/>
    <x v="172"/>
    <x v="166"/>
    <x v="4"/>
    <s v="Migraine"/>
    <x v="1"/>
    <n v="51163"/>
    <x v="1"/>
    <x v="0"/>
    <n v="2"/>
    <s v="High"/>
  </r>
  <r>
    <x v="230"/>
    <n v="33"/>
    <x v="0"/>
    <x v="173"/>
    <x v="38"/>
    <x v="0"/>
    <s v="Fracture"/>
    <x v="4"/>
    <n v="90126"/>
    <x v="0"/>
    <x v="2"/>
    <n v="8"/>
    <s v="High"/>
  </r>
  <r>
    <x v="231"/>
    <n v="59"/>
    <x v="0"/>
    <x v="153"/>
    <x v="47"/>
    <x v="0"/>
    <s v="Migraine"/>
    <x v="0"/>
    <n v="42582"/>
    <x v="0"/>
    <x v="1"/>
    <n v="7"/>
    <s v="Standard"/>
  </r>
  <r>
    <x v="232"/>
    <n v="30"/>
    <x v="1"/>
    <x v="174"/>
    <x v="167"/>
    <x v="1"/>
    <s v="Migraine"/>
    <x v="3"/>
    <n v="80040"/>
    <x v="1"/>
    <x v="2"/>
    <n v="7"/>
    <s v="High"/>
  </r>
  <r>
    <x v="233"/>
    <n v="32"/>
    <x v="1"/>
    <x v="175"/>
    <x v="168"/>
    <x v="4"/>
    <s v="Fracture"/>
    <x v="0"/>
    <n v="80844"/>
    <x v="0"/>
    <x v="2"/>
    <n v="2"/>
    <s v="High"/>
  </r>
  <r>
    <x v="234"/>
    <n v="21"/>
    <x v="0"/>
    <x v="176"/>
    <x v="169"/>
    <x v="2"/>
    <s v="Heart Disease"/>
    <x v="2"/>
    <n v="49887"/>
    <x v="1"/>
    <x v="1"/>
    <n v="6"/>
    <s v="Standard"/>
  </r>
  <r>
    <x v="235"/>
    <n v="49"/>
    <x v="1"/>
    <x v="177"/>
    <x v="165"/>
    <x v="0"/>
    <s v="Fracture"/>
    <x v="2"/>
    <n v="59668"/>
    <x v="1"/>
    <x v="2"/>
    <n v="7"/>
    <s v="High"/>
  </r>
  <r>
    <x v="236"/>
    <n v="48"/>
    <x v="1"/>
    <x v="96"/>
    <x v="170"/>
    <x v="1"/>
    <s v="Fever"/>
    <x v="3"/>
    <n v="39534"/>
    <x v="0"/>
    <x v="1"/>
    <n v="9"/>
    <s v="Standard"/>
  </r>
  <r>
    <x v="237"/>
    <n v="59"/>
    <x v="0"/>
    <x v="28"/>
    <x v="171"/>
    <x v="3"/>
    <s v="Fracture"/>
    <x v="2"/>
    <n v="38337"/>
    <x v="1"/>
    <x v="0"/>
    <n v="5"/>
    <s v="Standard"/>
  </r>
  <r>
    <x v="238"/>
    <n v="57"/>
    <x v="1"/>
    <x v="152"/>
    <x v="116"/>
    <x v="3"/>
    <s v="Migraine"/>
    <x v="0"/>
    <n v="79065"/>
    <x v="0"/>
    <x v="0"/>
    <n v="2"/>
    <s v="High"/>
  </r>
  <r>
    <x v="239"/>
    <n v="60"/>
    <x v="0"/>
    <x v="78"/>
    <x v="40"/>
    <x v="4"/>
    <s v="Migraine"/>
    <x v="4"/>
    <n v="74845"/>
    <x v="0"/>
    <x v="1"/>
    <n v="3"/>
    <s v="High"/>
  </r>
  <r>
    <x v="240"/>
    <n v="32"/>
    <x v="0"/>
    <x v="178"/>
    <x v="116"/>
    <x v="4"/>
    <s v="Diabetes"/>
    <x v="0"/>
    <n v="13688"/>
    <x v="1"/>
    <x v="2"/>
    <n v="8"/>
    <s v="Standard"/>
  </r>
  <r>
    <x v="241"/>
    <n v="80"/>
    <x v="0"/>
    <x v="179"/>
    <x v="172"/>
    <x v="0"/>
    <s v="Migraine"/>
    <x v="0"/>
    <n v="59720"/>
    <x v="1"/>
    <x v="0"/>
    <n v="9"/>
    <s v="High"/>
  </r>
  <r>
    <x v="242"/>
    <n v="70"/>
    <x v="0"/>
    <x v="114"/>
    <x v="173"/>
    <x v="3"/>
    <s v="Fracture"/>
    <x v="2"/>
    <n v="32049"/>
    <x v="1"/>
    <x v="1"/>
    <n v="2"/>
    <s v="Standard"/>
  </r>
  <r>
    <x v="243"/>
    <n v="51"/>
    <x v="1"/>
    <x v="41"/>
    <x v="157"/>
    <x v="0"/>
    <s v="Heart Disease"/>
    <x v="0"/>
    <n v="99824"/>
    <x v="0"/>
    <x v="1"/>
    <n v="5"/>
    <s v="High"/>
  </r>
  <r>
    <x v="244"/>
    <n v="45"/>
    <x v="1"/>
    <x v="44"/>
    <x v="155"/>
    <x v="2"/>
    <s v="Fever"/>
    <x v="4"/>
    <n v="83664"/>
    <x v="0"/>
    <x v="2"/>
    <n v="4"/>
    <s v="High"/>
  </r>
  <r>
    <x v="245"/>
    <n v="40"/>
    <x v="1"/>
    <x v="180"/>
    <x v="75"/>
    <x v="1"/>
    <s v="Migraine"/>
    <x v="4"/>
    <n v="87200"/>
    <x v="0"/>
    <x v="1"/>
    <n v="2"/>
    <s v="High"/>
  </r>
  <r>
    <x v="246"/>
    <n v="68"/>
    <x v="0"/>
    <x v="163"/>
    <x v="52"/>
    <x v="2"/>
    <s v="Diabetes"/>
    <x v="3"/>
    <n v="47919"/>
    <x v="1"/>
    <x v="2"/>
    <n v="9"/>
    <s v="Standard"/>
  </r>
  <r>
    <x v="247"/>
    <n v="20"/>
    <x v="0"/>
    <x v="181"/>
    <x v="174"/>
    <x v="1"/>
    <s v="Fever"/>
    <x v="1"/>
    <n v="67800"/>
    <x v="1"/>
    <x v="2"/>
    <n v="5"/>
    <s v="High"/>
  </r>
  <r>
    <x v="248"/>
    <n v="59"/>
    <x v="0"/>
    <x v="182"/>
    <x v="175"/>
    <x v="3"/>
    <s v="Fever"/>
    <x v="2"/>
    <n v="42823"/>
    <x v="0"/>
    <x v="0"/>
    <n v="10"/>
    <s v="Standard"/>
  </r>
  <r>
    <x v="249"/>
    <n v="20"/>
    <x v="0"/>
    <x v="114"/>
    <x v="118"/>
    <x v="4"/>
    <s v="Heart Disease"/>
    <x v="0"/>
    <n v="38130"/>
    <x v="1"/>
    <x v="0"/>
    <n v="4"/>
    <s v="Standard"/>
  </r>
  <r>
    <x v="250"/>
    <n v="34"/>
    <x v="1"/>
    <x v="177"/>
    <x v="176"/>
    <x v="0"/>
    <s v="Diabetes"/>
    <x v="4"/>
    <n v="66670"/>
    <x v="0"/>
    <x v="1"/>
    <n v="9"/>
    <s v="High"/>
  </r>
  <r>
    <x v="251"/>
    <n v="62"/>
    <x v="0"/>
    <x v="183"/>
    <x v="21"/>
    <x v="0"/>
    <s v="Fever"/>
    <x v="1"/>
    <n v="21601"/>
    <x v="0"/>
    <x v="2"/>
    <n v="1"/>
    <s v="Standard"/>
  </r>
  <r>
    <x v="252"/>
    <n v="22"/>
    <x v="0"/>
    <x v="181"/>
    <x v="177"/>
    <x v="0"/>
    <s v="Diabetes"/>
    <x v="2"/>
    <n v="98968"/>
    <x v="1"/>
    <x v="1"/>
    <n v="1"/>
    <s v="High"/>
  </r>
  <r>
    <x v="253"/>
    <n v="54"/>
    <x v="1"/>
    <x v="184"/>
    <x v="155"/>
    <x v="0"/>
    <s v="Fever"/>
    <x v="0"/>
    <n v="79831"/>
    <x v="1"/>
    <x v="1"/>
    <n v="3"/>
    <s v="High"/>
  </r>
  <r>
    <x v="254"/>
    <n v="33"/>
    <x v="1"/>
    <x v="46"/>
    <x v="178"/>
    <x v="4"/>
    <s v="Fever"/>
    <x v="3"/>
    <n v="53433"/>
    <x v="0"/>
    <x v="1"/>
    <n v="7"/>
    <s v="High"/>
  </r>
  <r>
    <x v="255"/>
    <n v="72"/>
    <x v="1"/>
    <x v="185"/>
    <x v="145"/>
    <x v="0"/>
    <s v="Fracture"/>
    <x v="4"/>
    <n v="75428"/>
    <x v="0"/>
    <x v="2"/>
    <n v="1"/>
    <s v="High"/>
  </r>
  <r>
    <x v="256"/>
    <n v="68"/>
    <x v="0"/>
    <x v="139"/>
    <x v="179"/>
    <x v="2"/>
    <s v="Heart Disease"/>
    <x v="2"/>
    <n v="56020"/>
    <x v="0"/>
    <x v="0"/>
    <n v="3"/>
    <s v="High"/>
  </r>
  <r>
    <x v="257"/>
    <n v="68"/>
    <x v="0"/>
    <x v="184"/>
    <x v="180"/>
    <x v="0"/>
    <s v="Fever"/>
    <x v="2"/>
    <n v="64218"/>
    <x v="0"/>
    <x v="2"/>
    <n v="8"/>
    <s v="High"/>
  </r>
  <r>
    <x v="258"/>
    <n v="71"/>
    <x v="1"/>
    <x v="169"/>
    <x v="102"/>
    <x v="4"/>
    <s v="Fever"/>
    <x v="1"/>
    <n v="54653"/>
    <x v="1"/>
    <x v="2"/>
    <n v="10"/>
    <s v="High"/>
  </r>
  <r>
    <x v="259"/>
    <n v="44"/>
    <x v="0"/>
    <x v="186"/>
    <x v="181"/>
    <x v="2"/>
    <s v="Diabetes"/>
    <x v="2"/>
    <n v="61074"/>
    <x v="0"/>
    <x v="2"/>
    <n v="7"/>
    <s v="High"/>
  </r>
  <r>
    <x v="260"/>
    <n v="31"/>
    <x v="0"/>
    <x v="141"/>
    <x v="182"/>
    <x v="0"/>
    <s v="Heart Disease"/>
    <x v="4"/>
    <n v="84685"/>
    <x v="1"/>
    <x v="2"/>
    <n v="8"/>
    <s v="High"/>
  </r>
  <r>
    <x v="261"/>
    <n v="49"/>
    <x v="0"/>
    <x v="24"/>
    <x v="24"/>
    <x v="1"/>
    <s v="Migraine"/>
    <x v="2"/>
    <n v="55123"/>
    <x v="1"/>
    <x v="1"/>
    <n v="1"/>
    <s v="High"/>
  </r>
  <r>
    <x v="262"/>
    <n v="36"/>
    <x v="0"/>
    <x v="22"/>
    <x v="82"/>
    <x v="4"/>
    <s v="Heart Disease"/>
    <x v="0"/>
    <n v="73723"/>
    <x v="0"/>
    <x v="1"/>
    <n v="6"/>
    <s v="High"/>
  </r>
  <r>
    <x v="263"/>
    <n v="41"/>
    <x v="0"/>
    <x v="187"/>
    <x v="6"/>
    <x v="0"/>
    <s v="Migraine"/>
    <x v="3"/>
    <n v="20407"/>
    <x v="0"/>
    <x v="0"/>
    <n v="8"/>
    <s v="Standard"/>
  </r>
  <r>
    <x v="264"/>
    <n v="61"/>
    <x v="0"/>
    <x v="188"/>
    <x v="183"/>
    <x v="3"/>
    <s v="Diabetes"/>
    <x v="0"/>
    <n v="8427"/>
    <x v="1"/>
    <x v="2"/>
    <n v="4"/>
    <s v="Standard"/>
  </r>
  <r>
    <x v="265"/>
    <n v="37"/>
    <x v="1"/>
    <x v="24"/>
    <x v="122"/>
    <x v="1"/>
    <s v="Heart Disease"/>
    <x v="0"/>
    <n v="85954"/>
    <x v="0"/>
    <x v="0"/>
    <n v="6"/>
    <s v="High"/>
  </r>
  <r>
    <x v="266"/>
    <n v="65"/>
    <x v="0"/>
    <x v="189"/>
    <x v="161"/>
    <x v="2"/>
    <s v="Heart Disease"/>
    <x v="4"/>
    <n v="96339"/>
    <x v="0"/>
    <x v="1"/>
    <n v="4"/>
    <s v="High"/>
  </r>
  <r>
    <x v="267"/>
    <n v="40"/>
    <x v="0"/>
    <x v="7"/>
    <x v="120"/>
    <x v="2"/>
    <s v="Diabetes"/>
    <x v="0"/>
    <n v="68739"/>
    <x v="0"/>
    <x v="1"/>
    <n v="8"/>
    <s v="High"/>
  </r>
  <r>
    <x v="268"/>
    <n v="49"/>
    <x v="0"/>
    <x v="190"/>
    <x v="183"/>
    <x v="1"/>
    <s v="Fracture"/>
    <x v="1"/>
    <n v="69610"/>
    <x v="0"/>
    <x v="2"/>
    <n v="9"/>
    <s v="High"/>
  </r>
  <r>
    <x v="269"/>
    <n v="25"/>
    <x v="1"/>
    <x v="191"/>
    <x v="20"/>
    <x v="1"/>
    <s v="Heart Disease"/>
    <x v="0"/>
    <n v="59009"/>
    <x v="0"/>
    <x v="2"/>
    <n v="6"/>
    <s v="High"/>
  </r>
  <r>
    <x v="270"/>
    <n v="43"/>
    <x v="1"/>
    <x v="143"/>
    <x v="83"/>
    <x v="3"/>
    <s v="Fracture"/>
    <x v="3"/>
    <n v="54088"/>
    <x v="0"/>
    <x v="2"/>
    <n v="6"/>
    <s v="High"/>
  </r>
  <r>
    <x v="271"/>
    <n v="66"/>
    <x v="1"/>
    <x v="157"/>
    <x v="184"/>
    <x v="0"/>
    <s v="Diabetes"/>
    <x v="2"/>
    <n v="99571"/>
    <x v="0"/>
    <x v="2"/>
    <n v="2"/>
    <s v="High"/>
  </r>
  <r>
    <x v="272"/>
    <n v="67"/>
    <x v="1"/>
    <x v="192"/>
    <x v="185"/>
    <x v="2"/>
    <s v="Fracture"/>
    <x v="3"/>
    <n v="90286"/>
    <x v="0"/>
    <x v="2"/>
    <n v="6"/>
    <s v="High"/>
  </r>
  <r>
    <x v="273"/>
    <n v="63"/>
    <x v="0"/>
    <x v="26"/>
    <x v="110"/>
    <x v="1"/>
    <s v="Fever"/>
    <x v="4"/>
    <n v="24502"/>
    <x v="1"/>
    <x v="2"/>
    <n v="2"/>
    <s v="Standard"/>
  </r>
  <r>
    <x v="274"/>
    <n v="38"/>
    <x v="1"/>
    <x v="152"/>
    <x v="186"/>
    <x v="2"/>
    <s v="Heart Disease"/>
    <x v="0"/>
    <n v="86006"/>
    <x v="0"/>
    <x v="2"/>
    <n v="5"/>
    <s v="High"/>
  </r>
  <r>
    <x v="275"/>
    <n v="57"/>
    <x v="0"/>
    <x v="193"/>
    <x v="187"/>
    <x v="1"/>
    <s v="Migraine"/>
    <x v="4"/>
    <n v="15270"/>
    <x v="1"/>
    <x v="2"/>
    <n v="8"/>
    <s v="Standard"/>
  </r>
  <r>
    <x v="276"/>
    <n v="44"/>
    <x v="1"/>
    <x v="146"/>
    <x v="188"/>
    <x v="0"/>
    <s v="Fever"/>
    <x v="0"/>
    <n v="15402"/>
    <x v="1"/>
    <x v="2"/>
    <n v="9"/>
    <s v="Standard"/>
  </r>
  <r>
    <x v="277"/>
    <n v="27"/>
    <x v="1"/>
    <x v="94"/>
    <x v="117"/>
    <x v="3"/>
    <s v="Heart Disease"/>
    <x v="3"/>
    <n v="63035"/>
    <x v="0"/>
    <x v="1"/>
    <n v="2"/>
    <s v="High"/>
  </r>
  <r>
    <x v="278"/>
    <n v="58"/>
    <x v="1"/>
    <x v="194"/>
    <x v="14"/>
    <x v="1"/>
    <s v="Diabetes"/>
    <x v="2"/>
    <n v="60075"/>
    <x v="0"/>
    <x v="1"/>
    <n v="1"/>
    <s v="High"/>
  </r>
  <r>
    <x v="279"/>
    <n v="65"/>
    <x v="1"/>
    <x v="60"/>
    <x v="189"/>
    <x v="2"/>
    <s v="Fracture"/>
    <x v="3"/>
    <n v="44382"/>
    <x v="0"/>
    <x v="0"/>
    <n v="10"/>
    <s v="Standard"/>
  </r>
  <r>
    <x v="280"/>
    <n v="76"/>
    <x v="1"/>
    <x v="78"/>
    <x v="190"/>
    <x v="1"/>
    <s v="Fracture"/>
    <x v="0"/>
    <n v="26814"/>
    <x v="0"/>
    <x v="2"/>
    <n v="9"/>
    <s v="Standard"/>
  </r>
  <r>
    <x v="281"/>
    <n v="66"/>
    <x v="0"/>
    <x v="195"/>
    <x v="126"/>
    <x v="3"/>
    <s v="Diabetes"/>
    <x v="4"/>
    <n v="28401"/>
    <x v="1"/>
    <x v="0"/>
    <n v="2"/>
    <s v="Standard"/>
  </r>
  <r>
    <x v="282"/>
    <n v="33"/>
    <x v="1"/>
    <x v="42"/>
    <x v="191"/>
    <x v="1"/>
    <s v="Heart Disease"/>
    <x v="0"/>
    <n v="6257"/>
    <x v="1"/>
    <x v="2"/>
    <n v="4"/>
    <s v="Standard"/>
  </r>
  <r>
    <x v="283"/>
    <n v="36"/>
    <x v="1"/>
    <x v="126"/>
    <x v="113"/>
    <x v="4"/>
    <s v="Fever"/>
    <x v="4"/>
    <n v="57154"/>
    <x v="1"/>
    <x v="2"/>
    <n v="9"/>
    <s v="High"/>
  </r>
  <r>
    <x v="284"/>
    <n v="56"/>
    <x v="0"/>
    <x v="196"/>
    <x v="153"/>
    <x v="1"/>
    <s v="Fever"/>
    <x v="4"/>
    <n v="30255"/>
    <x v="0"/>
    <x v="2"/>
    <n v="4"/>
    <s v="Standard"/>
  </r>
  <r>
    <x v="285"/>
    <n v="28"/>
    <x v="0"/>
    <x v="171"/>
    <x v="130"/>
    <x v="4"/>
    <s v="Migraine"/>
    <x v="2"/>
    <n v="54744"/>
    <x v="1"/>
    <x v="0"/>
    <n v="7"/>
    <s v="High"/>
  </r>
  <r>
    <x v="286"/>
    <n v="18"/>
    <x v="0"/>
    <x v="197"/>
    <x v="169"/>
    <x v="0"/>
    <s v="Fever"/>
    <x v="3"/>
    <n v="37764"/>
    <x v="1"/>
    <x v="2"/>
    <n v="7"/>
    <s v="Standard"/>
  </r>
  <r>
    <x v="287"/>
    <n v="24"/>
    <x v="0"/>
    <x v="198"/>
    <x v="115"/>
    <x v="4"/>
    <s v="Heart Disease"/>
    <x v="2"/>
    <n v="79636"/>
    <x v="1"/>
    <x v="0"/>
    <n v="4"/>
    <s v="High"/>
  </r>
  <r>
    <x v="288"/>
    <n v="22"/>
    <x v="0"/>
    <x v="115"/>
    <x v="31"/>
    <x v="4"/>
    <s v="Fracture"/>
    <x v="0"/>
    <n v="34493"/>
    <x v="0"/>
    <x v="1"/>
    <n v="8"/>
    <s v="Standard"/>
  </r>
  <r>
    <x v="289"/>
    <n v="79"/>
    <x v="0"/>
    <x v="199"/>
    <x v="48"/>
    <x v="2"/>
    <s v="Migraine"/>
    <x v="2"/>
    <n v="26384"/>
    <x v="1"/>
    <x v="0"/>
    <n v="8"/>
    <s v="Standard"/>
  </r>
  <r>
    <x v="290"/>
    <n v="31"/>
    <x v="0"/>
    <x v="49"/>
    <x v="51"/>
    <x v="2"/>
    <s v="Migraine"/>
    <x v="2"/>
    <n v="97176"/>
    <x v="1"/>
    <x v="1"/>
    <n v="9"/>
    <s v="High"/>
  </r>
  <r>
    <x v="291"/>
    <n v="73"/>
    <x v="0"/>
    <x v="180"/>
    <x v="192"/>
    <x v="3"/>
    <s v="Fracture"/>
    <x v="2"/>
    <n v="63686"/>
    <x v="0"/>
    <x v="1"/>
    <n v="7"/>
    <s v="High"/>
  </r>
  <r>
    <x v="292"/>
    <n v="25"/>
    <x v="1"/>
    <x v="7"/>
    <x v="193"/>
    <x v="3"/>
    <s v="Heart Disease"/>
    <x v="1"/>
    <n v="8224"/>
    <x v="0"/>
    <x v="2"/>
    <n v="6"/>
    <s v="Standard"/>
  </r>
  <r>
    <x v="293"/>
    <n v="23"/>
    <x v="1"/>
    <x v="35"/>
    <x v="36"/>
    <x v="4"/>
    <s v="Diabetes"/>
    <x v="3"/>
    <n v="34189"/>
    <x v="1"/>
    <x v="1"/>
    <n v="4"/>
    <s v="Standard"/>
  </r>
  <r>
    <x v="294"/>
    <n v="59"/>
    <x v="1"/>
    <x v="200"/>
    <x v="194"/>
    <x v="0"/>
    <s v="Heart Disease"/>
    <x v="0"/>
    <n v="44609"/>
    <x v="1"/>
    <x v="0"/>
    <n v="8"/>
    <s v="Standard"/>
  </r>
  <r>
    <x v="295"/>
    <n v="80"/>
    <x v="0"/>
    <x v="201"/>
    <x v="33"/>
    <x v="3"/>
    <s v="Fracture"/>
    <x v="1"/>
    <n v="55081"/>
    <x v="0"/>
    <x v="0"/>
    <n v="8"/>
    <s v="High"/>
  </r>
  <r>
    <x v="296"/>
    <n v="43"/>
    <x v="1"/>
    <x v="202"/>
    <x v="195"/>
    <x v="0"/>
    <s v="Diabetes"/>
    <x v="0"/>
    <n v="78896"/>
    <x v="1"/>
    <x v="1"/>
    <n v="7"/>
    <s v="High"/>
  </r>
  <r>
    <x v="297"/>
    <n v="24"/>
    <x v="1"/>
    <x v="19"/>
    <x v="72"/>
    <x v="3"/>
    <s v="Migraine"/>
    <x v="3"/>
    <n v="97678"/>
    <x v="0"/>
    <x v="1"/>
    <n v="5"/>
    <s v="High"/>
  </r>
  <r>
    <x v="298"/>
    <n v="48"/>
    <x v="1"/>
    <x v="203"/>
    <x v="196"/>
    <x v="0"/>
    <s v="Heart Disease"/>
    <x v="3"/>
    <n v="91822"/>
    <x v="0"/>
    <x v="1"/>
    <n v="4"/>
    <s v="High"/>
  </r>
  <r>
    <x v="299"/>
    <n v="33"/>
    <x v="0"/>
    <x v="148"/>
    <x v="75"/>
    <x v="4"/>
    <s v="Fracture"/>
    <x v="1"/>
    <n v="71103"/>
    <x v="1"/>
    <x v="1"/>
    <n v="9"/>
    <s v="High"/>
  </r>
  <r>
    <x v="300"/>
    <n v="79"/>
    <x v="1"/>
    <x v="107"/>
    <x v="197"/>
    <x v="4"/>
    <s v="Heart Disease"/>
    <x v="0"/>
    <n v="13021"/>
    <x v="1"/>
    <x v="0"/>
    <n v="10"/>
    <s v="Standard"/>
  </r>
  <r>
    <x v="301"/>
    <n v="22"/>
    <x v="1"/>
    <x v="204"/>
    <x v="198"/>
    <x v="3"/>
    <s v="Heart Disease"/>
    <x v="4"/>
    <n v="9941"/>
    <x v="0"/>
    <x v="0"/>
    <n v="5"/>
    <s v="Standard"/>
  </r>
  <r>
    <x v="302"/>
    <n v="46"/>
    <x v="0"/>
    <x v="205"/>
    <x v="199"/>
    <x v="2"/>
    <s v="Fever"/>
    <x v="1"/>
    <n v="98515"/>
    <x v="1"/>
    <x v="2"/>
    <n v="7"/>
    <s v="High"/>
  </r>
  <r>
    <x v="303"/>
    <n v="18"/>
    <x v="1"/>
    <x v="206"/>
    <x v="200"/>
    <x v="3"/>
    <s v="Migraine"/>
    <x v="4"/>
    <n v="43172"/>
    <x v="0"/>
    <x v="2"/>
    <n v="5"/>
    <s v="Standard"/>
  </r>
  <r>
    <x v="304"/>
    <n v="63"/>
    <x v="0"/>
    <x v="118"/>
    <x v="201"/>
    <x v="3"/>
    <s v="Heart Disease"/>
    <x v="3"/>
    <n v="47936"/>
    <x v="1"/>
    <x v="0"/>
    <n v="5"/>
    <s v="Standard"/>
  </r>
  <r>
    <x v="305"/>
    <n v="39"/>
    <x v="1"/>
    <x v="151"/>
    <x v="122"/>
    <x v="0"/>
    <s v="Diabetes"/>
    <x v="3"/>
    <n v="50435"/>
    <x v="1"/>
    <x v="0"/>
    <n v="8"/>
    <s v="High"/>
  </r>
  <r>
    <x v="306"/>
    <n v="66"/>
    <x v="1"/>
    <x v="207"/>
    <x v="202"/>
    <x v="3"/>
    <s v="Fever"/>
    <x v="0"/>
    <n v="42816"/>
    <x v="0"/>
    <x v="0"/>
    <n v="5"/>
    <s v="Standard"/>
  </r>
  <r>
    <x v="307"/>
    <n v="49"/>
    <x v="0"/>
    <x v="40"/>
    <x v="203"/>
    <x v="4"/>
    <s v="Fever"/>
    <x v="1"/>
    <n v="8128"/>
    <x v="1"/>
    <x v="0"/>
    <n v="5"/>
    <s v="Standard"/>
  </r>
  <r>
    <x v="308"/>
    <n v="43"/>
    <x v="1"/>
    <x v="208"/>
    <x v="136"/>
    <x v="2"/>
    <s v="Fracture"/>
    <x v="4"/>
    <n v="28893"/>
    <x v="0"/>
    <x v="2"/>
    <n v="9"/>
    <s v="Standard"/>
  </r>
  <r>
    <x v="309"/>
    <n v="76"/>
    <x v="0"/>
    <x v="61"/>
    <x v="162"/>
    <x v="2"/>
    <s v="Fever"/>
    <x v="4"/>
    <n v="63105"/>
    <x v="0"/>
    <x v="1"/>
    <n v="1"/>
    <s v="High"/>
  </r>
  <r>
    <x v="310"/>
    <n v="41"/>
    <x v="1"/>
    <x v="10"/>
    <x v="10"/>
    <x v="3"/>
    <s v="Migraine"/>
    <x v="2"/>
    <n v="64446"/>
    <x v="1"/>
    <x v="1"/>
    <n v="1"/>
    <s v="High"/>
  </r>
  <r>
    <x v="311"/>
    <n v="43"/>
    <x v="0"/>
    <x v="134"/>
    <x v="11"/>
    <x v="2"/>
    <s v="Heart Disease"/>
    <x v="1"/>
    <n v="92225"/>
    <x v="0"/>
    <x v="0"/>
    <n v="8"/>
    <s v="High"/>
  </r>
  <r>
    <x v="312"/>
    <n v="44"/>
    <x v="0"/>
    <x v="77"/>
    <x v="204"/>
    <x v="2"/>
    <s v="Diabetes"/>
    <x v="4"/>
    <n v="29274"/>
    <x v="1"/>
    <x v="2"/>
    <n v="7"/>
    <s v="Standard"/>
  </r>
  <r>
    <x v="313"/>
    <n v="45"/>
    <x v="1"/>
    <x v="164"/>
    <x v="127"/>
    <x v="1"/>
    <s v="Migraine"/>
    <x v="0"/>
    <n v="14925"/>
    <x v="0"/>
    <x v="1"/>
    <n v="6"/>
    <s v="Standard"/>
  </r>
  <r>
    <x v="314"/>
    <n v="57"/>
    <x v="0"/>
    <x v="62"/>
    <x v="73"/>
    <x v="1"/>
    <s v="Diabetes"/>
    <x v="3"/>
    <n v="56959"/>
    <x v="1"/>
    <x v="0"/>
    <n v="8"/>
    <s v="High"/>
  </r>
  <r>
    <x v="315"/>
    <n v="41"/>
    <x v="0"/>
    <x v="209"/>
    <x v="9"/>
    <x v="0"/>
    <s v="Migraine"/>
    <x v="1"/>
    <n v="62355"/>
    <x v="0"/>
    <x v="1"/>
    <n v="7"/>
    <s v="High"/>
  </r>
  <r>
    <x v="316"/>
    <n v="23"/>
    <x v="1"/>
    <x v="45"/>
    <x v="189"/>
    <x v="0"/>
    <s v="Fever"/>
    <x v="2"/>
    <n v="21108"/>
    <x v="1"/>
    <x v="1"/>
    <n v="2"/>
    <s v="Standard"/>
  </r>
  <r>
    <x v="317"/>
    <n v="61"/>
    <x v="0"/>
    <x v="201"/>
    <x v="205"/>
    <x v="3"/>
    <s v="Heart Disease"/>
    <x v="1"/>
    <n v="98915"/>
    <x v="0"/>
    <x v="0"/>
    <n v="5"/>
    <s v="High"/>
  </r>
  <r>
    <x v="318"/>
    <n v="21"/>
    <x v="1"/>
    <x v="210"/>
    <x v="206"/>
    <x v="0"/>
    <s v="Fracture"/>
    <x v="2"/>
    <n v="23717"/>
    <x v="0"/>
    <x v="1"/>
    <n v="7"/>
    <s v="Standard"/>
  </r>
  <r>
    <x v="319"/>
    <n v="70"/>
    <x v="0"/>
    <x v="211"/>
    <x v="207"/>
    <x v="2"/>
    <s v="Migraine"/>
    <x v="0"/>
    <n v="75930"/>
    <x v="1"/>
    <x v="1"/>
    <n v="2"/>
    <s v="High"/>
  </r>
  <r>
    <x v="320"/>
    <n v="80"/>
    <x v="0"/>
    <x v="98"/>
    <x v="208"/>
    <x v="3"/>
    <s v="Diabetes"/>
    <x v="2"/>
    <n v="14622"/>
    <x v="1"/>
    <x v="2"/>
    <n v="1"/>
    <s v="Standard"/>
  </r>
  <r>
    <x v="321"/>
    <n v="73"/>
    <x v="0"/>
    <x v="212"/>
    <x v="209"/>
    <x v="4"/>
    <s v="Fever"/>
    <x v="0"/>
    <n v="80419"/>
    <x v="0"/>
    <x v="1"/>
    <n v="9"/>
    <s v="High"/>
  </r>
  <r>
    <x v="322"/>
    <n v="50"/>
    <x v="0"/>
    <x v="213"/>
    <x v="3"/>
    <x v="1"/>
    <s v="Migraine"/>
    <x v="4"/>
    <n v="93641"/>
    <x v="1"/>
    <x v="2"/>
    <n v="3"/>
    <s v="High"/>
  </r>
  <r>
    <x v="323"/>
    <n v="51"/>
    <x v="1"/>
    <x v="214"/>
    <x v="113"/>
    <x v="4"/>
    <s v="Heart Disease"/>
    <x v="3"/>
    <n v="29643"/>
    <x v="0"/>
    <x v="2"/>
    <n v="1"/>
    <s v="Standard"/>
  </r>
  <r>
    <x v="324"/>
    <n v="67"/>
    <x v="1"/>
    <x v="215"/>
    <x v="210"/>
    <x v="0"/>
    <s v="Heart Disease"/>
    <x v="1"/>
    <n v="67402"/>
    <x v="0"/>
    <x v="1"/>
    <n v="6"/>
    <s v="High"/>
  </r>
  <r>
    <x v="325"/>
    <n v="47"/>
    <x v="1"/>
    <x v="115"/>
    <x v="211"/>
    <x v="1"/>
    <s v="Fever"/>
    <x v="2"/>
    <n v="33390"/>
    <x v="0"/>
    <x v="0"/>
    <n v="3"/>
    <s v="Standard"/>
  </r>
  <r>
    <x v="326"/>
    <n v="29"/>
    <x v="0"/>
    <x v="185"/>
    <x v="34"/>
    <x v="0"/>
    <s v="Fever"/>
    <x v="0"/>
    <n v="9344"/>
    <x v="0"/>
    <x v="1"/>
    <n v="3"/>
    <s v="Standard"/>
  </r>
  <r>
    <x v="327"/>
    <n v="63"/>
    <x v="0"/>
    <x v="117"/>
    <x v="122"/>
    <x v="1"/>
    <s v="Fever"/>
    <x v="3"/>
    <n v="45330"/>
    <x v="1"/>
    <x v="2"/>
    <n v="9"/>
    <s v="Standard"/>
  </r>
  <r>
    <x v="328"/>
    <n v="61"/>
    <x v="0"/>
    <x v="216"/>
    <x v="43"/>
    <x v="4"/>
    <s v="Fracture"/>
    <x v="2"/>
    <n v="39095"/>
    <x v="1"/>
    <x v="1"/>
    <n v="5"/>
    <s v="Standard"/>
  </r>
  <r>
    <x v="329"/>
    <n v="78"/>
    <x v="1"/>
    <x v="217"/>
    <x v="212"/>
    <x v="0"/>
    <s v="Heart Disease"/>
    <x v="3"/>
    <n v="48266"/>
    <x v="0"/>
    <x v="1"/>
    <n v="4"/>
    <s v="Standard"/>
  </r>
  <r>
    <x v="330"/>
    <n v="53"/>
    <x v="1"/>
    <x v="218"/>
    <x v="213"/>
    <x v="2"/>
    <s v="Fever"/>
    <x v="0"/>
    <n v="8442"/>
    <x v="0"/>
    <x v="0"/>
    <n v="2"/>
    <s v="Standard"/>
  </r>
  <r>
    <x v="331"/>
    <n v="37"/>
    <x v="0"/>
    <x v="163"/>
    <x v="58"/>
    <x v="0"/>
    <s v="Heart Disease"/>
    <x v="4"/>
    <n v="36443"/>
    <x v="0"/>
    <x v="1"/>
    <n v="7"/>
    <s v="Standard"/>
  </r>
  <r>
    <x v="332"/>
    <n v="20"/>
    <x v="1"/>
    <x v="135"/>
    <x v="214"/>
    <x v="4"/>
    <s v="Diabetes"/>
    <x v="3"/>
    <n v="70403"/>
    <x v="0"/>
    <x v="1"/>
    <n v="9"/>
    <s v="High"/>
  </r>
  <r>
    <x v="333"/>
    <n v="31"/>
    <x v="1"/>
    <x v="22"/>
    <x v="42"/>
    <x v="2"/>
    <s v="Migraine"/>
    <x v="4"/>
    <n v="16779"/>
    <x v="1"/>
    <x v="0"/>
    <n v="1"/>
    <s v="Standard"/>
  </r>
  <r>
    <x v="334"/>
    <n v="78"/>
    <x v="0"/>
    <x v="219"/>
    <x v="215"/>
    <x v="1"/>
    <s v="Diabetes"/>
    <x v="4"/>
    <n v="96457"/>
    <x v="0"/>
    <x v="2"/>
    <n v="7"/>
    <s v="High"/>
  </r>
  <r>
    <x v="335"/>
    <n v="51"/>
    <x v="1"/>
    <x v="105"/>
    <x v="3"/>
    <x v="0"/>
    <s v="Fever"/>
    <x v="1"/>
    <n v="16063"/>
    <x v="1"/>
    <x v="0"/>
    <n v="10"/>
    <s v="Standard"/>
  </r>
  <r>
    <x v="336"/>
    <n v="22"/>
    <x v="1"/>
    <x v="220"/>
    <x v="201"/>
    <x v="4"/>
    <s v="Migraine"/>
    <x v="2"/>
    <n v="9093"/>
    <x v="1"/>
    <x v="2"/>
    <n v="9"/>
    <s v="Standard"/>
  </r>
  <r>
    <x v="337"/>
    <n v="62"/>
    <x v="0"/>
    <x v="52"/>
    <x v="216"/>
    <x v="1"/>
    <s v="Heart Disease"/>
    <x v="3"/>
    <n v="56844"/>
    <x v="0"/>
    <x v="0"/>
    <n v="8"/>
    <s v="High"/>
  </r>
  <r>
    <x v="338"/>
    <n v="43"/>
    <x v="0"/>
    <x v="221"/>
    <x v="77"/>
    <x v="1"/>
    <s v="Fracture"/>
    <x v="3"/>
    <n v="56091"/>
    <x v="1"/>
    <x v="2"/>
    <n v="7"/>
    <s v="High"/>
  </r>
  <r>
    <x v="339"/>
    <n v="50"/>
    <x v="0"/>
    <x v="140"/>
    <x v="146"/>
    <x v="3"/>
    <s v="Migraine"/>
    <x v="1"/>
    <n v="24900"/>
    <x v="0"/>
    <x v="2"/>
    <n v="1"/>
    <s v="Standard"/>
  </r>
  <r>
    <x v="340"/>
    <n v="63"/>
    <x v="1"/>
    <x v="112"/>
    <x v="33"/>
    <x v="3"/>
    <s v="Heart Disease"/>
    <x v="3"/>
    <n v="64627"/>
    <x v="1"/>
    <x v="2"/>
    <n v="6"/>
    <s v="High"/>
  </r>
  <r>
    <x v="341"/>
    <n v="47"/>
    <x v="1"/>
    <x v="122"/>
    <x v="217"/>
    <x v="1"/>
    <s v="Fever"/>
    <x v="0"/>
    <n v="86860"/>
    <x v="0"/>
    <x v="1"/>
    <n v="9"/>
    <s v="High"/>
  </r>
  <r>
    <x v="342"/>
    <n v="55"/>
    <x v="1"/>
    <x v="18"/>
    <x v="218"/>
    <x v="1"/>
    <s v="Fracture"/>
    <x v="4"/>
    <n v="19333"/>
    <x v="1"/>
    <x v="2"/>
    <n v="5"/>
    <s v="Standard"/>
  </r>
  <r>
    <x v="343"/>
    <n v="63"/>
    <x v="0"/>
    <x v="222"/>
    <x v="219"/>
    <x v="4"/>
    <s v="Diabetes"/>
    <x v="0"/>
    <n v="73341"/>
    <x v="0"/>
    <x v="1"/>
    <n v="8"/>
    <s v="High"/>
  </r>
  <r>
    <x v="344"/>
    <n v="19"/>
    <x v="1"/>
    <x v="174"/>
    <x v="220"/>
    <x v="1"/>
    <s v="Fever"/>
    <x v="3"/>
    <n v="69371"/>
    <x v="1"/>
    <x v="1"/>
    <n v="1"/>
    <s v="High"/>
  </r>
  <r>
    <x v="345"/>
    <n v="22"/>
    <x v="0"/>
    <x v="223"/>
    <x v="151"/>
    <x v="3"/>
    <s v="Heart Disease"/>
    <x v="0"/>
    <n v="28695"/>
    <x v="0"/>
    <x v="0"/>
    <n v="10"/>
    <s v="Standard"/>
  </r>
  <r>
    <x v="346"/>
    <n v="76"/>
    <x v="0"/>
    <x v="66"/>
    <x v="221"/>
    <x v="0"/>
    <s v="Heart Disease"/>
    <x v="1"/>
    <n v="64168"/>
    <x v="1"/>
    <x v="0"/>
    <n v="3"/>
    <s v="High"/>
  </r>
  <r>
    <x v="347"/>
    <n v="30"/>
    <x v="0"/>
    <x v="183"/>
    <x v="88"/>
    <x v="3"/>
    <s v="Fracture"/>
    <x v="3"/>
    <n v="47438"/>
    <x v="1"/>
    <x v="0"/>
    <n v="8"/>
    <s v="Standard"/>
  </r>
  <r>
    <x v="348"/>
    <n v="71"/>
    <x v="0"/>
    <x v="224"/>
    <x v="31"/>
    <x v="3"/>
    <s v="Diabetes"/>
    <x v="2"/>
    <n v="8906"/>
    <x v="1"/>
    <x v="1"/>
    <n v="2"/>
    <s v="Standard"/>
  </r>
  <r>
    <x v="349"/>
    <n v="43"/>
    <x v="0"/>
    <x v="163"/>
    <x v="222"/>
    <x v="1"/>
    <s v="Fracture"/>
    <x v="1"/>
    <n v="46766"/>
    <x v="0"/>
    <x v="2"/>
    <n v="3"/>
    <s v="Standard"/>
  </r>
  <r>
    <x v="350"/>
    <n v="73"/>
    <x v="0"/>
    <x v="214"/>
    <x v="143"/>
    <x v="0"/>
    <s v="Migraine"/>
    <x v="2"/>
    <n v="39502"/>
    <x v="1"/>
    <x v="1"/>
    <n v="6"/>
    <s v="Standard"/>
  </r>
  <r>
    <x v="351"/>
    <n v="56"/>
    <x v="0"/>
    <x v="30"/>
    <x v="44"/>
    <x v="0"/>
    <s v="Migraine"/>
    <x v="1"/>
    <n v="30384"/>
    <x v="1"/>
    <x v="0"/>
    <n v="5"/>
    <s v="Standard"/>
  </r>
  <r>
    <x v="352"/>
    <n v="28"/>
    <x v="1"/>
    <x v="209"/>
    <x v="214"/>
    <x v="2"/>
    <s v="Fracture"/>
    <x v="4"/>
    <n v="72983"/>
    <x v="0"/>
    <x v="1"/>
    <n v="5"/>
    <s v="High"/>
  </r>
  <r>
    <x v="353"/>
    <n v="29"/>
    <x v="1"/>
    <x v="225"/>
    <x v="172"/>
    <x v="3"/>
    <s v="Fever"/>
    <x v="2"/>
    <n v="58943"/>
    <x v="0"/>
    <x v="0"/>
    <n v="6"/>
    <s v="High"/>
  </r>
  <r>
    <x v="354"/>
    <n v="37"/>
    <x v="1"/>
    <x v="18"/>
    <x v="157"/>
    <x v="1"/>
    <s v="Fever"/>
    <x v="1"/>
    <n v="16392"/>
    <x v="1"/>
    <x v="0"/>
    <n v="10"/>
    <s v="Standard"/>
  </r>
  <r>
    <x v="355"/>
    <n v="30"/>
    <x v="0"/>
    <x v="226"/>
    <x v="223"/>
    <x v="4"/>
    <s v="Fracture"/>
    <x v="2"/>
    <n v="19221"/>
    <x v="1"/>
    <x v="0"/>
    <n v="6"/>
    <s v="Standard"/>
  </r>
  <r>
    <x v="356"/>
    <n v="25"/>
    <x v="0"/>
    <x v="13"/>
    <x v="224"/>
    <x v="4"/>
    <s v="Diabetes"/>
    <x v="2"/>
    <n v="56121"/>
    <x v="0"/>
    <x v="1"/>
    <n v="1"/>
    <s v="High"/>
  </r>
  <r>
    <x v="357"/>
    <n v="28"/>
    <x v="1"/>
    <x v="227"/>
    <x v="171"/>
    <x v="2"/>
    <s v="Heart Disease"/>
    <x v="1"/>
    <n v="85702"/>
    <x v="0"/>
    <x v="0"/>
    <n v="8"/>
    <s v="High"/>
  </r>
  <r>
    <x v="358"/>
    <n v="45"/>
    <x v="1"/>
    <x v="126"/>
    <x v="225"/>
    <x v="4"/>
    <s v="Heart Disease"/>
    <x v="2"/>
    <n v="5984"/>
    <x v="0"/>
    <x v="2"/>
    <n v="5"/>
    <s v="Standard"/>
  </r>
  <r>
    <x v="359"/>
    <n v="59"/>
    <x v="1"/>
    <x v="173"/>
    <x v="90"/>
    <x v="3"/>
    <s v="Fracture"/>
    <x v="3"/>
    <n v="7069"/>
    <x v="1"/>
    <x v="1"/>
    <n v="7"/>
    <s v="Standard"/>
  </r>
  <r>
    <x v="360"/>
    <n v="38"/>
    <x v="0"/>
    <x v="228"/>
    <x v="168"/>
    <x v="1"/>
    <s v="Migraine"/>
    <x v="0"/>
    <n v="37499"/>
    <x v="0"/>
    <x v="1"/>
    <n v="6"/>
    <s v="Standard"/>
  </r>
  <r>
    <x v="361"/>
    <n v="60"/>
    <x v="0"/>
    <x v="43"/>
    <x v="16"/>
    <x v="3"/>
    <s v="Migraine"/>
    <x v="0"/>
    <n v="80048"/>
    <x v="0"/>
    <x v="2"/>
    <n v="3"/>
    <s v="High"/>
  </r>
  <r>
    <x v="362"/>
    <n v="47"/>
    <x v="0"/>
    <x v="116"/>
    <x v="198"/>
    <x v="0"/>
    <s v="Fever"/>
    <x v="2"/>
    <n v="60538"/>
    <x v="1"/>
    <x v="1"/>
    <n v="8"/>
    <s v="High"/>
  </r>
  <r>
    <x v="363"/>
    <n v="34"/>
    <x v="0"/>
    <x v="74"/>
    <x v="226"/>
    <x v="2"/>
    <s v="Fever"/>
    <x v="2"/>
    <n v="39003"/>
    <x v="0"/>
    <x v="2"/>
    <n v="1"/>
    <s v="Standard"/>
  </r>
  <r>
    <x v="364"/>
    <n v="53"/>
    <x v="0"/>
    <x v="37"/>
    <x v="183"/>
    <x v="2"/>
    <s v="Fever"/>
    <x v="1"/>
    <n v="78820"/>
    <x v="1"/>
    <x v="1"/>
    <n v="3"/>
    <s v="High"/>
  </r>
  <r>
    <x v="365"/>
    <n v="54"/>
    <x v="1"/>
    <x v="229"/>
    <x v="145"/>
    <x v="1"/>
    <s v="Heart Disease"/>
    <x v="1"/>
    <n v="75358"/>
    <x v="0"/>
    <x v="0"/>
    <n v="4"/>
    <s v="High"/>
  </r>
  <r>
    <x v="366"/>
    <n v="62"/>
    <x v="1"/>
    <x v="85"/>
    <x v="227"/>
    <x v="1"/>
    <s v="Fever"/>
    <x v="4"/>
    <n v="38233"/>
    <x v="1"/>
    <x v="1"/>
    <n v="3"/>
    <s v="Standard"/>
  </r>
  <r>
    <x v="367"/>
    <n v="59"/>
    <x v="0"/>
    <x v="163"/>
    <x v="228"/>
    <x v="2"/>
    <s v="Diabetes"/>
    <x v="1"/>
    <n v="13951"/>
    <x v="1"/>
    <x v="1"/>
    <n v="2"/>
    <s v="Standard"/>
  </r>
  <r>
    <x v="368"/>
    <n v="38"/>
    <x v="1"/>
    <x v="148"/>
    <x v="229"/>
    <x v="1"/>
    <s v="Fever"/>
    <x v="4"/>
    <n v="78552"/>
    <x v="1"/>
    <x v="0"/>
    <n v="8"/>
    <s v="High"/>
  </r>
  <r>
    <x v="369"/>
    <n v="38"/>
    <x v="1"/>
    <x v="230"/>
    <x v="108"/>
    <x v="3"/>
    <s v="Fracture"/>
    <x v="0"/>
    <n v="94150"/>
    <x v="1"/>
    <x v="2"/>
    <n v="6"/>
    <s v="High"/>
  </r>
  <r>
    <x v="370"/>
    <n v="20"/>
    <x v="0"/>
    <x v="231"/>
    <x v="230"/>
    <x v="0"/>
    <s v="Fracture"/>
    <x v="4"/>
    <n v="42725"/>
    <x v="1"/>
    <x v="1"/>
    <n v="1"/>
    <s v="Standard"/>
  </r>
  <r>
    <x v="371"/>
    <n v="44"/>
    <x v="1"/>
    <x v="232"/>
    <x v="231"/>
    <x v="4"/>
    <s v="Heart Disease"/>
    <x v="3"/>
    <n v="30963"/>
    <x v="1"/>
    <x v="1"/>
    <n v="6"/>
    <s v="Standard"/>
  </r>
  <r>
    <x v="372"/>
    <n v="25"/>
    <x v="1"/>
    <x v="94"/>
    <x v="232"/>
    <x v="1"/>
    <s v="Fracture"/>
    <x v="4"/>
    <n v="62156"/>
    <x v="1"/>
    <x v="1"/>
    <n v="1"/>
    <s v="High"/>
  </r>
  <r>
    <x v="373"/>
    <n v="56"/>
    <x v="0"/>
    <x v="159"/>
    <x v="233"/>
    <x v="0"/>
    <s v="Heart Disease"/>
    <x v="3"/>
    <n v="68998"/>
    <x v="0"/>
    <x v="2"/>
    <n v="8"/>
    <s v="High"/>
  </r>
  <r>
    <x v="374"/>
    <n v="48"/>
    <x v="1"/>
    <x v="233"/>
    <x v="88"/>
    <x v="4"/>
    <s v="Fracture"/>
    <x v="4"/>
    <n v="33348"/>
    <x v="1"/>
    <x v="0"/>
    <n v="2"/>
    <s v="Standard"/>
  </r>
  <r>
    <x v="375"/>
    <n v="18"/>
    <x v="0"/>
    <x v="213"/>
    <x v="234"/>
    <x v="1"/>
    <s v="Fracture"/>
    <x v="3"/>
    <n v="32949"/>
    <x v="0"/>
    <x v="1"/>
    <n v="9"/>
    <s v="Standard"/>
  </r>
  <r>
    <x v="376"/>
    <n v="37"/>
    <x v="1"/>
    <x v="234"/>
    <x v="224"/>
    <x v="3"/>
    <s v="Fracture"/>
    <x v="1"/>
    <n v="54443"/>
    <x v="0"/>
    <x v="2"/>
    <n v="3"/>
    <s v="High"/>
  </r>
  <r>
    <x v="377"/>
    <n v="31"/>
    <x v="0"/>
    <x v="83"/>
    <x v="52"/>
    <x v="2"/>
    <s v="Diabetes"/>
    <x v="0"/>
    <n v="79642"/>
    <x v="0"/>
    <x v="2"/>
    <n v="3"/>
    <s v="High"/>
  </r>
  <r>
    <x v="378"/>
    <n v="32"/>
    <x v="1"/>
    <x v="47"/>
    <x v="230"/>
    <x v="0"/>
    <s v="Fracture"/>
    <x v="3"/>
    <n v="10308"/>
    <x v="0"/>
    <x v="1"/>
    <n v="10"/>
    <s v="Standard"/>
  </r>
  <r>
    <x v="379"/>
    <n v="56"/>
    <x v="1"/>
    <x v="223"/>
    <x v="235"/>
    <x v="0"/>
    <s v="Fracture"/>
    <x v="3"/>
    <n v="50839"/>
    <x v="1"/>
    <x v="0"/>
    <n v="3"/>
    <s v="High"/>
  </r>
  <r>
    <x v="380"/>
    <n v="77"/>
    <x v="0"/>
    <x v="235"/>
    <x v="44"/>
    <x v="1"/>
    <s v="Diabetes"/>
    <x v="4"/>
    <n v="81869"/>
    <x v="1"/>
    <x v="2"/>
    <n v="7"/>
    <s v="High"/>
  </r>
  <r>
    <x v="381"/>
    <n v="43"/>
    <x v="0"/>
    <x v="180"/>
    <x v="64"/>
    <x v="0"/>
    <s v="Diabetes"/>
    <x v="1"/>
    <n v="22776"/>
    <x v="1"/>
    <x v="0"/>
    <n v="6"/>
    <s v="Standard"/>
  </r>
  <r>
    <x v="382"/>
    <n v="32"/>
    <x v="0"/>
    <x v="155"/>
    <x v="236"/>
    <x v="4"/>
    <s v="Fever"/>
    <x v="0"/>
    <n v="70210"/>
    <x v="1"/>
    <x v="0"/>
    <n v="3"/>
    <s v="High"/>
  </r>
  <r>
    <x v="383"/>
    <n v="41"/>
    <x v="0"/>
    <x v="85"/>
    <x v="38"/>
    <x v="2"/>
    <s v="Fracture"/>
    <x v="1"/>
    <n v="34931"/>
    <x v="1"/>
    <x v="1"/>
    <n v="2"/>
    <s v="Standard"/>
  </r>
  <r>
    <x v="384"/>
    <n v="66"/>
    <x v="0"/>
    <x v="34"/>
    <x v="237"/>
    <x v="2"/>
    <s v="Fever"/>
    <x v="3"/>
    <n v="11620"/>
    <x v="1"/>
    <x v="1"/>
    <n v="3"/>
    <s v="Standard"/>
  </r>
  <r>
    <x v="385"/>
    <n v="49"/>
    <x v="0"/>
    <x v="199"/>
    <x v="199"/>
    <x v="1"/>
    <s v="Fever"/>
    <x v="1"/>
    <n v="39645"/>
    <x v="0"/>
    <x v="0"/>
    <n v="3"/>
    <s v="Standard"/>
  </r>
  <r>
    <x v="386"/>
    <n v="19"/>
    <x v="1"/>
    <x v="236"/>
    <x v="174"/>
    <x v="0"/>
    <s v="Heart Disease"/>
    <x v="4"/>
    <n v="94505"/>
    <x v="1"/>
    <x v="1"/>
    <n v="8"/>
    <s v="High"/>
  </r>
  <r>
    <x v="387"/>
    <n v="61"/>
    <x v="0"/>
    <x v="106"/>
    <x v="238"/>
    <x v="1"/>
    <s v="Heart Disease"/>
    <x v="4"/>
    <n v="59288"/>
    <x v="0"/>
    <x v="0"/>
    <n v="4"/>
    <s v="High"/>
  </r>
  <r>
    <x v="388"/>
    <n v="74"/>
    <x v="0"/>
    <x v="237"/>
    <x v="239"/>
    <x v="0"/>
    <s v="Migraine"/>
    <x v="0"/>
    <n v="85199"/>
    <x v="1"/>
    <x v="1"/>
    <n v="7"/>
    <s v="High"/>
  </r>
  <r>
    <x v="389"/>
    <n v="71"/>
    <x v="1"/>
    <x v="169"/>
    <x v="3"/>
    <x v="2"/>
    <s v="Heart Disease"/>
    <x v="3"/>
    <n v="23832"/>
    <x v="1"/>
    <x v="1"/>
    <n v="6"/>
    <s v="Standard"/>
  </r>
  <r>
    <x v="390"/>
    <n v="61"/>
    <x v="1"/>
    <x v="238"/>
    <x v="122"/>
    <x v="2"/>
    <s v="Fever"/>
    <x v="1"/>
    <n v="68553"/>
    <x v="1"/>
    <x v="0"/>
    <n v="4"/>
    <s v="High"/>
  </r>
  <r>
    <x v="391"/>
    <n v="32"/>
    <x v="0"/>
    <x v="239"/>
    <x v="213"/>
    <x v="1"/>
    <s v="Fracture"/>
    <x v="0"/>
    <n v="61335"/>
    <x v="1"/>
    <x v="2"/>
    <n v="5"/>
    <s v="High"/>
  </r>
  <r>
    <x v="392"/>
    <n v="51"/>
    <x v="0"/>
    <x v="177"/>
    <x v="176"/>
    <x v="1"/>
    <s v="Heart Disease"/>
    <x v="1"/>
    <n v="27900"/>
    <x v="0"/>
    <x v="0"/>
    <n v="9"/>
    <s v="Standard"/>
  </r>
  <r>
    <x v="393"/>
    <n v="32"/>
    <x v="0"/>
    <x v="204"/>
    <x v="54"/>
    <x v="3"/>
    <s v="Fever"/>
    <x v="4"/>
    <n v="28952"/>
    <x v="1"/>
    <x v="2"/>
    <n v="6"/>
    <s v="Standard"/>
  </r>
  <r>
    <x v="394"/>
    <n v="56"/>
    <x v="1"/>
    <x v="240"/>
    <x v="24"/>
    <x v="1"/>
    <s v="Fracture"/>
    <x v="0"/>
    <n v="45870"/>
    <x v="0"/>
    <x v="2"/>
    <n v="9"/>
    <s v="Standard"/>
  </r>
  <r>
    <x v="395"/>
    <n v="74"/>
    <x v="1"/>
    <x v="156"/>
    <x v="96"/>
    <x v="4"/>
    <s v="Migraine"/>
    <x v="2"/>
    <n v="84776"/>
    <x v="1"/>
    <x v="0"/>
    <n v="8"/>
    <s v="High"/>
  </r>
  <r>
    <x v="396"/>
    <n v="56"/>
    <x v="1"/>
    <x v="233"/>
    <x v="79"/>
    <x v="2"/>
    <s v="Fever"/>
    <x v="0"/>
    <n v="21177"/>
    <x v="0"/>
    <x v="2"/>
    <n v="1"/>
    <s v="Standard"/>
  </r>
  <r>
    <x v="397"/>
    <n v="75"/>
    <x v="1"/>
    <x v="177"/>
    <x v="176"/>
    <x v="0"/>
    <s v="Fever"/>
    <x v="3"/>
    <n v="81807"/>
    <x v="1"/>
    <x v="0"/>
    <n v="9"/>
    <s v="High"/>
  </r>
  <r>
    <x v="398"/>
    <n v="50"/>
    <x v="1"/>
    <x v="241"/>
    <x v="116"/>
    <x v="4"/>
    <s v="Migraine"/>
    <x v="4"/>
    <n v="5250"/>
    <x v="1"/>
    <x v="0"/>
    <n v="6"/>
    <s v="Standard"/>
  </r>
  <r>
    <x v="399"/>
    <n v="56"/>
    <x v="0"/>
    <x v="74"/>
    <x v="240"/>
    <x v="4"/>
    <s v="Heart Disease"/>
    <x v="3"/>
    <n v="35984"/>
    <x v="1"/>
    <x v="0"/>
    <n v="8"/>
    <s v="Standard"/>
  </r>
  <r>
    <x v="400"/>
    <n v="80"/>
    <x v="0"/>
    <x v="2"/>
    <x v="241"/>
    <x v="0"/>
    <s v="Fracture"/>
    <x v="0"/>
    <n v="46862"/>
    <x v="0"/>
    <x v="2"/>
    <n v="6"/>
    <s v="Standard"/>
  </r>
  <r>
    <x v="401"/>
    <n v="78"/>
    <x v="1"/>
    <x v="242"/>
    <x v="50"/>
    <x v="3"/>
    <s v="Fever"/>
    <x v="0"/>
    <n v="48717"/>
    <x v="1"/>
    <x v="1"/>
    <n v="7"/>
    <s v="Standard"/>
  </r>
  <r>
    <x v="402"/>
    <n v="80"/>
    <x v="0"/>
    <x v="243"/>
    <x v="5"/>
    <x v="0"/>
    <s v="Fever"/>
    <x v="3"/>
    <n v="98580"/>
    <x v="0"/>
    <x v="0"/>
    <n v="9"/>
    <s v="High"/>
  </r>
  <r>
    <x v="403"/>
    <n v="43"/>
    <x v="1"/>
    <x v="143"/>
    <x v="220"/>
    <x v="0"/>
    <s v="Diabetes"/>
    <x v="4"/>
    <n v="6684"/>
    <x v="0"/>
    <x v="2"/>
    <n v="9"/>
    <s v="Standard"/>
  </r>
  <r>
    <x v="404"/>
    <n v="62"/>
    <x v="0"/>
    <x v="133"/>
    <x v="242"/>
    <x v="1"/>
    <s v="Diabetes"/>
    <x v="1"/>
    <n v="88139"/>
    <x v="1"/>
    <x v="1"/>
    <n v="6"/>
    <s v="High"/>
  </r>
  <r>
    <x v="405"/>
    <n v="24"/>
    <x v="0"/>
    <x v="216"/>
    <x v="243"/>
    <x v="3"/>
    <s v="Fever"/>
    <x v="3"/>
    <n v="23051"/>
    <x v="1"/>
    <x v="1"/>
    <n v="2"/>
    <s v="Standard"/>
  </r>
  <r>
    <x v="406"/>
    <n v="60"/>
    <x v="1"/>
    <x v="244"/>
    <x v="184"/>
    <x v="2"/>
    <s v="Migraine"/>
    <x v="2"/>
    <n v="24768"/>
    <x v="0"/>
    <x v="1"/>
    <n v="1"/>
    <s v="Standard"/>
  </r>
  <r>
    <x v="407"/>
    <n v="44"/>
    <x v="0"/>
    <x v="1"/>
    <x v="205"/>
    <x v="2"/>
    <s v="Migraine"/>
    <x v="0"/>
    <n v="31478"/>
    <x v="1"/>
    <x v="2"/>
    <n v="2"/>
    <s v="Standard"/>
  </r>
  <r>
    <x v="408"/>
    <n v="22"/>
    <x v="0"/>
    <x v="245"/>
    <x v="244"/>
    <x v="0"/>
    <s v="Migraine"/>
    <x v="3"/>
    <n v="75334"/>
    <x v="0"/>
    <x v="2"/>
    <n v="5"/>
    <s v="High"/>
  </r>
  <r>
    <x v="409"/>
    <n v="72"/>
    <x v="0"/>
    <x v="145"/>
    <x v="245"/>
    <x v="3"/>
    <s v="Fever"/>
    <x v="0"/>
    <n v="38957"/>
    <x v="1"/>
    <x v="0"/>
    <n v="7"/>
    <s v="Standard"/>
  </r>
  <r>
    <x v="410"/>
    <n v="57"/>
    <x v="0"/>
    <x v="246"/>
    <x v="171"/>
    <x v="3"/>
    <s v="Migraine"/>
    <x v="1"/>
    <n v="77075"/>
    <x v="1"/>
    <x v="1"/>
    <n v="9"/>
    <s v="High"/>
  </r>
  <r>
    <x v="411"/>
    <n v="49"/>
    <x v="0"/>
    <x v="107"/>
    <x v="246"/>
    <x v="2"/>
    <s v="Heart Disease"/>
    <x v="0"/>
    <n v="50653"/>
    <x v="1"/>
    <x v="0"/>
    <n v="2"/>
    <s v="High"/>
  </r>
  <r>
    <x v="412"/>
    <n v="67"/>
    <x v="1"/>
    <x v="247"/>
    <x v="247"/>
    <x v="3"/>
    <s v="Fever"/>
    <x v="0"/>
    <n v="77597"/>
    <x v="1"/>
    <x v="1"/>
    <n v="8"/>
    <s v="High"/>
  </r>
  <r>
    <x v="413"/>
    <n v="61"/>
    <x v="1"/>
    <x v="248"/>
    <x v="143"/>
    <x v="2"/>
    <s v="Migraine"/>
    <x v="0"/>
    <n v="59756"/>
    <x v="1"/>
    <x v="0"/>
    <n v="5"/>
    <s v="High"/>
  </r>
  <r>
    <x v="414"/>
    <n v="80"/>
    <x v="1"/>
    <x v="212"/>
    <x v="244"/>
    <x v="4"/>
    <s v="Fever"/>
    <x v="2"/>
    <n v="23921"/>
    <x v="0"/>
    <x v="2"/>
    <n v="1"/>
    <s v="Standard"/>
  </r>
  <r>
    <x v="415"/>
    <n v="20"/>
    <x v="0"/>
    <x v="158"/>
    <x v="248"/>
    <x v="1"/>
    <s v="Heart Disease"/>
    <x v="4"/>
    <n v="21243"/>
    <x v="0"/>
    <x v="2"/>
    <n v="6"/>
    <s v="Standard"/>
  </r>
  <r>
    <x v="416"/>
    <n v="68"/>
    <x v="1"/>
    <x v="6"/>
    <x v="214"/>
    <x v="2"/>
    <s v="Diabetes"/>
    <x v="1"/>
    <n v="78581"/>
    <x v="0"/>
    <x v="2"/>
    <n v="6"/>
    <s v="High"/>
  </r>
  <r>
    <x v="417"/>
    <n v="34"/>
    <x v="0"/>
    <x v="165"/>
    <x v="75"/>
    <x v="2"/>
    <s v="Diabetes"/>
    <x v="4"/>
    <n v="33157"/>
    <x v="0"/>
    <x v="1"/>
    <n v="3"/>
    <s v="Standard"/>
  </r>
  <r>
    <x v="418"/>
    <n v="31"/>
    <x v="1"/>
    <x v="78"/>
    <x v="190"/>
    <x v="4"/>
    <s v="Fracture"/>
    <x v="2"/>
    <n v="69585"/>
    <x v="0"/>
    <x v="1"/>
    <n v="9"/>
    <s v="High"/>
  </r>
  <r>
    <x v="419"/>
    <n v="35"/>
    <x v="0"/>
    <x v="136"/>
    <x v="192"/>
    <x v="0"/>
    <s v="Heart Disease"/>
    <x v="4"/>
    <n v="84809"/>
    <x v="0"/>
    <x v="1"/>
    <n v="3"/>
    <s v="High"/>
  </r>
  <r>
    <x v="420"/>
    <n v="38"/>
    <x v="0"/>
    <x v="201"/>
    <x v="12"/>
    <x v="4"/>
    <s v="Migraine"/>
    <x v="4"/>
    <n v="86049"/>
    <x v="1"/>
    <x v="2"/>
    <n v="7"/>
    <s v="High"/>
  </r>
  <r>
    <x v="421"/>
    <n v="54"/>
    <x v="1"/>
    <x v="128"/>
    <x v="78"/>
    <x v="2"/>
    <s v="Diabetes"/>
    <x v="1"/>
    <n v="66811"/>
    <x v="1"/>
    <x v="1"/>
    <n v="6"/>
    <s v="High"/>
  </r>
  <r>
    <x v="422"/>
    <n v="26"/>
    <x v="0"/>
    <x v="96"/>
    <x v="98"/>
    <x v="0"/>
    <s v="Fracture"/>
    <x v="3"/>
    <n v="57124"/>
    <x v="0"/>
    <x v="1"/>
    <n v="7"/>
    <s v="High"/>
  </r>
  <r>
    <x v="423"/>
    <n v="77"/>
    <x v="0"/>
    <x v="249"/>
    <x v="249"/>
    <x v="0"/>
    <s v="Heart Disease"/>
    <x v="2"/>
    <n v="97478"/>
    <x v="1"/>
    <x v="2"/>
    <n v="2"/>
    <s v="High"/>
  </r>
  <r>
    <x v="424"/>
    <n v="51"/>
    <x v="0"/>
    <x v="239"/>
    <x v="250"/>
    <x v="1"/>
    <s v="Heart Disease"/>
    <x v="3"/>
    <n v="72590"/>
    <x v="1"/>
    <x v="0"/>
    <n v="4"/>
    <s v="High"/>
  </r>
  <r>
    <x v="425"/>
    <n v="39"/>
    <x v="1"/>
    <x v="250"/>
    <x v="251"/>
    <x v="1"/>
    <s v="Fever"/>
    <x v="0"/>
    <n v="60350"/>
    <x v="0"/>
    <x v="2"/>
    <n v="2"/>
    <s v="High"/>
  </r>
  <r>
    <x v="426"/>
    <n v="21"/>
    <x v="1"/>
    <x v="201"/>
    <x v="252"/>
    <x v="0"/>
    <s v="Fracture"/>
    <x v="4"/>
    <n v="49770"/>
    <x v="1"/>
    <x v="0"/>
    <n v="6"/>
    <s v="Standard"/>
  </r>
  <r>
    <x v="427"/>
    <n v="44"/>
    <x v="0"/>
    <x v="186"/>
    <x v="253"/>
    <x v="2"/>
    <s v="Heart Disease"/>
    <x v="2"/>
    <n v="58837"/>
    <x v="0"/>
    <x v="2"/>
    <n v="8"/>
    <s v="High"/>
  </r>
  <r>
    <x v="428"/>
    <n v="56"/>
    <x v="1"/>
    <x v="124"/>
    <x v="254"/>
    <x v="4"/>
    <s v="Fever"/>
    <x v="4"/>
    <n v="30010"/>
    <x v="0"/>
    <x v="1"/>
    <n v="1"/>
    <s v="Standard"/>
  </r>
  <r>
    <x v="429"/>
    <n v="67"/>
    <x v="1"/>
    <x v="120"/>
    <x v="255"/>
    <x v="2"/>
    <s v="Fracture"/>
    <x v="2"/>
    <n v="21014"/>
    <x v="0"/>
    <x v="0"/>
    <n v="8"/>
    <s v="Standard"/>
  </r>
  <r>
    <x v="430"/>
    <n v="31"/>
    <x v="1"/>
    <x v="251"/>
    <x v="245"/>
    <x v="0"/>
    <s v="Diabetes"/>
    <x v="1"/>
    <n v="50483"/>
    <x v="0"/>
    <x v="0"/>
    <n v="10"/>
    <s v="High"/>
  </r>
  <r>
    <x v="431"/>
    <n v="70"/>
    <x v="1"/>
    <x v="213"/>
    <x v="256"/>
    <x v="4"/>
    <s v="Diabetes"/>
    <x v="3"/>
    <n v="87145"/>
    <x v="0"/>
    <x v="0"/>
    <n v="4"/>
    <s v="High"/>
  </r>
  <r>
    <x v="432"/>
    <n v="68"/>
    <x v="0"/>
    <x v="252"/>
    <x v="31"/>
    <x v="3"/>
    <s v="Fever"/>
    <x v="2"/>
    <n v="59542"/>
    <x v="0"/>
    <x v="0"/>
    <n v="9"/>
    <s v="High"/>
  </r>
  <r>
    <x v="433"/>
    <n v="19"/>
    <x v="1"/>
    <x v="253"/>
    <x v="38"/>
    <x v="2"/>
    <s v="Migraine"/>
    <x v="1"/>
    <n v="33966"/>
    <x v="1"/>
    <x v="1"/>
    <n v="10"/>
    <s v="Standard"/>
  </r>
  <r>
    <x v="434"/>
    <n v="59"/>
    <x v="0"/>
    <x v="106"/>
    <x v="257"/>
    <x v="0"/>
    <s v="Diabetes"/>
    <x v="2"/>
    <n v="97392"/>
    <x v="0"/>
    <x v="2"/>
    <n v="5"/>
    <s v="High"/>
  </r>
  <r>
    <x v="435"/>
    <n v="71"/>
    <x v="1"/>
    <x v="161"/>
    <x v="249"/>
    <x v="1"/>
    <s v="Fracture"/>
    <x v="0"/>
    <n v="28151"/>
    <x v="0"/>
    <x v="2"/>
    <n v="4"/>
    <s v="Standard"/>
  </r>
  <r>
    <x v="436"/>
    <n v="67"/>
    <x v="1"/>
    <x v="254"/>
    <x v="258"/>
    <x v="4"/>
    <s v="Fracture"/>
    <x v="0"/>
    <n v="22707"/>
    <x v="1"/>
    <x v="0"/>
    <n v="9"/>
    <s v="Standard"/>
  </r>
  <r>
    <x v="437"/>
    <n v="52"/>
    <x v="1"/>
    <x v="8"/>
    <x v="259"/>
    <x v="1"/>
    <s v="Fracture"/>
    <x v="0"/>
    <n v="22121"/>
    <x v="1"/>
    <x v="2"/>
    <n v="1"/>
    <s v="Standard"/>
  </r>
  <r>
    <x v="438"/>
    <n v="73"/>
    <x v="0"/>
    <x v="164"/>
    <x v="260"/>
    <x v="3"/>
    <s v="Heart Disease"/>
    <x v="0"/>
    <n v="34358"/>
    <x v="0"/>
    <x v="2"/>
    <n v="1"/>
    <s v="Standard"/>
  </r>
  <r>
    <x v="439"/>
    <n v="33"/>
    <x v="1"/>
    <x v="222"/>
    <x v="219"/>
    <x v="0"/>
    <s v="Diabetes"/>
    <x v="1"/>
    <n v="86096"/>
    <x v="0"/>
    <x v="0"/>
    <n v="8"/>
    <s v="High"/>
  </r>
  <r>
    <x v="440"/>
    <n v="54"/>
    <x v="0"/>
    <x v="238"/>
    <x v="261"/>
    <x v="0"/>
    <s v="Heart Disease"/>
    <x v="4"/>
    <n v="80898"/>
    <x v="1"/>
    <x v="1"/>
    <n v="8"/>
    <s v="High"/>
  </r>
  <r>
    <x v="441"/>
    <n v="65"/>
    <x v="1"/>
    <x v="149"/>
    <x v="262"/>
    <x v="4"/>
    <s v="Diabetes"/>
    <x v="1"/>
    <n v="20911"/>
    <x v="0"/>
    <x v="0"/>
    <n v="10"/>
    <s v="Standard"/>
  </r>
  <r>
    <x v="442"/>
    <n v="35"/>
    <x v="0"/>
    <x v="255"/>
    <x v="170"/>
    <x v="3"/>
    <s v="Fracture"/>
    <x v="4"/>
    <n v="14981"/>
    <x v="1"/>
    <x v="1"/>
    <n v="4"/>
    <s v="Standard"/>
  </r>
  <r>
    <x v="443"/>
    <n v="21"/>
    <x v="0"/>
    <x v="95"/>
    <x v="46"/>
    <x v="1"/>
    <s v="Fever"/>
    <x v="2"/>
    <n v="14221"/>
    <x v="1"/>
    <x v="1"/>
    <n v="1"/>
    <s v="Standard"/>
  </r>
  <r>
    <x v="444"/>
    <n v="48"/>
    <x v="0"/>
    <x v="256"/>
    <x v="56"/>
    <x v="1"/>
    <s v="Migraine"/>
    <x v="2"/>
    <n v="88053"/>
    <x v="1"/>
    <x v="2"/>
    <n v="7"/>
    <s v="High"/>
  </r>
  <r>
    <x v="445"/>
    <n v="29"/>
    <x v="0"/>
    <x v="220"/>
    <x v="253"/>
    <x v="4"/>
    <s v="Migraine"/>
    <x v="0"/>
    <n v="70333"/>
    <x v="0"/>
    <x v="1"/>
    <n v="2"/>
    <s v="High"/>
  </r>
  <r>
    <x v="446"/>
    <n v="69"/>
    <x v="1"/>
    <x v="257"/>
    <x v="143"/>
    <x v="2"/>
    <s v="Fracture"/>
    <x v="3"/>
    <n v="29062"/>
    <x v="1"/>
    <x v="1"/>
    <n v="9"/>
    <s v="Standard"/>
  </r>
  <r>
    <x v="447"/>
    <n v="32"/>
    <x v="0"/>
    <x v="176"/>
    <x v="263"/>
    <x v="0"/>
    <s v="Heart Disease"/>
    <x v="3"/>
    <n v="60714"/>
    <x v="0"/>
    <x v="2"/>
    <n v="5"/>
    <s v="High"/>
  </r>
  <r>
    <x v="448"/>
    <n v="31"/>
    <x v="1"/>
    <x v="258"/>
    <x v="264"/>
    <x v="3"/>
    <s v="Fever"/>
    <x v="4"/>
    <n v="38707"/>
    <x v="0"/>
    <x v="0"/>
    <n v="5"/>
    <s v="Standard"/>
  </r>
  <r>
    <x v="449"/>
    <n v="75"/>
    <x v="1"/>
    <x v="74"/>
    <x v="66"/>
    <x v="3"/>
    <s v="Migraine"/>
    <x v="0"/>
    <n v="51856"/>
    <x v="0"/>
    <x v="2"/>
    <n v="7"/>
    <s v="High"/>
  </r>
  <r>
    <x v="450"/>
    <n v="66"/>
    <x v="1"/>
    <x v="18"/>
    <x v="143"/>
    <x v="3"/>
    <s v="Heart Disease"/>
    <x v="3"/>
    <n v="77587"/>
    <x v="0"/>
    <x v="0"/>
    <n v="2"/>
    <s v="High"/>
  </r>
  <r>
    <x v="451"/>
    <n v="50"/>
    <x v="1"/>
    <x v="179"/>
    <x v="140"/>
    <x v="3"/>
    <s v="Fever"/>
    <x v="4"/>
    <n v="65317"/>
    <x v="0"/>
    <x v="0"/>
    <n v="10"/>
    <s v="High"/>
  </r>
  <r>
    <x v="452"/>
    <n v="35"/>
    <x v="0"/>
    <x v="67"/>
    <x v="39"/>
    <x v="0"/>
    <s v="Fracture"/>
    <x v="3"/>
    <n v="92377"/>
    <x v="1"/>
    <x v="0"/>
    <n v="1"/>
    <s v="High"/>
  </r>
  <r>
    <x v="453"/>
    <n v="46"/>
    <x v="0"/>
    <x v="166"/>
    <x v="7"/>
    <x v="3"/>
    <s v="Fever"/>
    <x v="1"/>
    <n v="57152"/>
    <x v="0"/>
    <x v="1"/>
    <n v="3"/>
    <s v="High"/>
  </r>
  <r>
    <x v="454"/>
    <n v="75"/>
    <x v="1"/>
    <x v="31"/>
    <x v="265"/>
    <x v="0"/>
    <s v="Migraine"/>
    <x v="3"/>
    <n v="12338"/>
    <x v="0"/>
    <x v="0"/>
    <n v="6"/>
    <s v="Standard"/>
  </r>
  <r>
    <x v="455"/>
    <n v="27"/>
    <x v="0"/>
    <x v="215"/>
    <x v="213"/>
    <x v="0"/>
    <s v="Fever"/>
    <x v="4"/>
    <n v="18506"/>
    <x v="1"/>
    <x v="1"/>
    <n v="4"/>
    <s v="Standard"/>
  </r>
  <r>
    <x v="456"/>
    <n v="71"/>
    <x v="1"/>
    <x v="145"/>
    <x v="161"/>
    <x v="2"/>
    <s v="Fracture"/>
    <x v="4"/>
    <n v="91956"/>
    <x v="0"/>
    <x v="0"/>
    <n v="2"/>
    <s v="High"/>
  </r>
  <r>
    <x v="457"/>
    <n v="26"/>
    <x v="1"/>
    <x v="259"/>
    <x v="266"/>
    <x v="0"/>
    <s v="Fracture"/>
    <x v="2"/>
    <n v="38359"/>
    <x v="0"/>
    <x v="1"/>
    <n v="9"/>
    <s v="Standard"/>
  </r>
  <r>
    <x v="458"/>
    <n v="55"/>
    <x v="0"/>
    <x v="114"/>
    <x v="191"/>
    <x v="4"/>
    <s v="Diabetes"/>
    <x v="2"/>
    <n v="91600"/>
    <x v="1"/>
    <x v="2"/>
    <n v="3"/>
    <s v="High"/>
  </r>
  <r>
    <x v="459"/>
    <n v="35"/>
    <x v="1"/>
    <x v="124"/>
    <x v="205"/>
    <x v="0"/>
    <s v="Heart Disease"/>
    <x v="1"/>
    <n v="37028"/>
    <x v="0"/>
    <x v="1"/>
    <n v="9"/>
    <s v="Standard"/>
  </r>
  <r>
    <x v="460"/>
    <n v="26"/>
    <x v="1"/>
    <x v="184"/>
    <x v="45"/>
    <x v="4"/>
    <s v="Fracture"/>
    <x v="3"/>
    <n v="57389"/>
    <x v="0"/>
    <x v="2"/>
    <n v="7"/>
    <s v="High"/>
  </r>
  <r>
    <x v="461"/>
    <n v="42"/>
    <x v="1"/>
    <x v="260"/>
    <x v="195"/>
    <x v="2"/>
    <s v="Fracture"/>
    <x v="4"/>
    <n v="61682"/>
    <x v="1"/>
    <x v="2"/>
    <n v="8"/>
    <s v="High"/>
  </r>
  <r>
    <x v="462"/>
    <n v="48"/>
    <x v="1"/>
    <x v="220"/>
    <x v="187"/>
    <x v="3"/>
    <s v="Fever"/>
    <x v="3"/>
    <n v="21279"/>
    <x v="0"/>
    <x v="1"/>
    <n v="6"/>
    <s v="Standard"/>
  </r>
  <r>
    <x v="463"/>
    <n v="74"/>
    <x v="0"/>
    <x v="74"/>
    <x v="80"/>
    <x v="3"/>
    <s v="Fracture"/>
    <x v="4"/>
    <n v="91724"/>
    <x v="0"/>
    <x v="2"/>
    <n v="2"/>
    <s v="High"/>
  </r>
  <r>
    <x v="464"/>
    <n v="63"/>
    <x v="1"/>
    <x v="58"/>
    <x v="253"/>
    <x v="0"/>
    <s v="Fever"/>
    <x v="4"/>
    <n v="84215"/>
    <x v="0"/>
    <x v="1"/>
    <n v="10"/>
    <s v="High"/>
  </r>
  <r>
    <x v="465"/>
    <n v="68"/>
    <x v="0"/>
    <x v="261"/>
    <x v="30"/>
    <x v="0"/>
    <s v="Heart Disease"/>
    <x v="3"/>
    <n v="30184"/>
    <x v="0"/>
    <x v="2"/>
    <n v="9"/>
    <s v="Standard"/>
  </r>
  <r>
    <x v="466"/>
    <n v="45"/>
    <x v="1"/>
    <x v="156"/>
    <x v="94"/>
    <x v="2"/>
    <s v="Heart Disease"/>
    <x v="4"/>
    <n v="46369"/>
    <x v="0"/>
    <x v="0"/>
    <n v="6"/>
    <s v="Standard"/>
  </r>
  <r>
    <x v="467"/>
    <n v="45"/>
    <x v="1"/>
    <x v="22"/>
    <x v="40"/>
    <x v="0"/>
    <s v="Fever"/>
    <x v="1"/>
    <n v="74237"/>
    <x v="0"/>
    <x v="1"/>
    <n v="7"/>
    <s v="High"/>
  </r>
  <r>
    <x v="468"/>
    <n v="41"/>
    <x v="0"/>
    <x v="262"/>
    <x v="267"/>
    <x v="2"/>
    <s v="Heart Disease"/>
    <x v="3"/>
    <n v="78530"/>
    <x v="1"/>
    <x v="0"/>
    <n v="9"/>
    <s v="High"/>
  </r>
  <r>
    <x v="469"/>
    <n v="43"/>
    <x v="0"/>
    <x v="36"/>
    <x v="37"/>
    <x v="1"/>
    <s v="Heart Disease"/>
    <x v="1"/>
    <n v="92198"/>
    <x v="0"/>
    <x v="0"/>
    <n v="3"/>
    <s v="High"/>
  </r>
  <r>
    <x v="470"/>
    <n v="44"/>
    <x v="1"/>
    <x v="168"/>
    <x v="148"/>
    <x v="0"/>
    <s v="Diabetes"/>
    <x v="3"/>
    <n v="69223"/>
    <x v="1"/>
    <x v="2"/>
    <n v="6"/>
    <s v="High"/>
  </r>
  <r>
    <x v="471"/>
    <n v="40"/>
    <x v="0"/>
    <x v="65"/>
    <x v="150"/>
    <x v="4"/>
    <s v="Migraine"/>
    <x v="4"/>
    <n v="20680"/>
    <x v="0"/>
    <x v="0"/>
    <n v="8"/>
    <s v="Standard"/>
  </r>
  <r>
    <x v="472"/>
    <n v="22"/>
    <x v="1"/>
    <x v="170"/>
    <x v="20"/>
    <x v="2"/>
    <s v="Fever"/>
    <x v="0"/>
    <n v="10063"/>
    <x v="0"/>
    <x v="0"/>
    <n v="3"/>
    <s v="Standard"/>
  </r>
  <r>
    <x v="473"/>
    <n v="73"/>
    <x v="1"/>
    <x v="263"/>
    <x v="217"/>
    <x v="2"/>
    <s v="Migraine"/>
    <x v="1"/>
    <n v="49103"/>
    <x v="0"/>
    <x v="2"/>
    <n v="1"/>
    <s v="Standard"/>
  </r>
  <r>
    <x v="474"/>
    <n v="47"/>
    <x v="0"/>
    <x v="264"/>
    <x v="12"/>
    <x v="4"/>
    <s v="Heart Disease"/>
    <x v="3"/>
    <n v="6080"/>
    <x v="1"/>
    <x v="2"/>
    <n v="1"/>
    <s v="Standard"/>
  </r>
  <r>
    <x v="475"/>
    <n v="64"/>
    <x v="1"/>
    <x v="146"/>
    <x v="20"/>
    <x v="1"/>
    <s v="Fracture"/>
    <x v="3"/>
    <n v="22724"/>
    <x v="1"/>
    <x v="2"/>
    <n v="10"/>
    <s v="Standard"/>
  </r>
  <r>
    <x v="476"/>
    <n v="53"/>
    <x v="0"/>
    <x v="265"/>
    <x v="97"/>
    <x v="4"/>
    <s v="Diabetes"/>
    <x v="1"/>
    <n v="83237"/>
    <x v="0"/>
    <x v="2"/>
    <n v="3"/>
    <s v="High"/>
  </r>
  <r>
    <x v="477"/>
    <n v="48"/>
    <x v="1"/>
    <x v="257"/>
    <x v="113"/>
    <x v="1"/>
    <s v="Diabetes"/>
    <x v="2"/>
    <n v="11044"/>
    <x v="1"/>
    <x v="0"/>
    <n v="4"/>
    <s v="Standard"/>
  </r>
  <r>
    <x v="478"/>
    <n v="26"/>
    <x v="1"/>
    <x v="266"/>
    <x v="223"/>
    <x v="2"/>
    <s v="Diabetes"/>
    <x v="1"/>
    <n v="64215"/>
    <x v="1"/>
    <x v="1"/>
    <n v="7"/>
    <s v="High"/>
  </r>
  <r>
    <x v="479"/>
    <n v="67"/>
    <x v="0"/>
    <x v="51"/>
    <x v="85"/>
    <x v="4"/>
    <s v="Fracture"/>
    <x v="0"/>
    <n v="11604"/>
    <x v="1"/>
    <x v="1"/>
    <n v="10"/>
    <s v="Standard"/>
  </r>
  <r>
    <x v="480"/>
    <n v="31"/>
    <x v="1"/>
    <x v="125"/>
    <x v="268"/>
    <x v="3"/>
    <s v="Fever"/>
    <x v="2"/>
    <n v="62931"/>
    <x v="0"/>
    <x v="1"/>
    <n v="10"/>
    <s v="High"/>
  </r>
  <r>
    <x v="481"/>
    <n v="54"/>
    <x v="1"/>
    <x v="195"/>
    <x v="108"/>
    <x v="2"/>
    <s v="Fracture"/>
    <x v="2"/>
    <n v="60495"/>
    <x v="1"/>
    <x v="0"/>
    <n v="9"/>
    <s v="High"/>
  </r>
  <r>
    <x v="482"/>
    <n v="51"/>
    <x v="0"/>
    <x v="36"/>
    <x v="59"/>
    <x v="1"/>
    <s v="Fever"/>
    <x v="4"/>
    <n v="6406"/>
    <x v="1"/>
    <x v="1"/>
    <n v="10"/>
    <s v="Standard"/>
  </r>
  <r>
    <x v="483"/>
    <n v="31"/>
    <x v="0"/>
    <x v="48"/>
    <x v="50"/>
    <x v="1"/>
    <s v="Fracture"/>
    <x v="1"/>
    <n v="60115"/>
    <x v="1"/>
    <x v="1"/>
    <n v="3"/>
    <s v="High"/>
  </r>
  <r>
    <x v="484"/>
    <n v="75"/>
    <x v="1"/>
    <x v="60"/>
    <x v="146"/>
    <x v="0"/>
    <s v="Fracture"/>
    <x v="4"/>
    <n v="72445"/>
    <x v="1"/>
    <x v="2"/>
    <n v="8"/>
    <s v="High"/>
  </r>
  <r>
    <x v="485"/>
    <n v="42"/>
    <x v="0"/>
    <x v="127"/>
    <x v="176"/>
    <x v="1"/>
    <s v="Fever"/>
    <x v="2"/>
    <n v="31888"/>
    <x v="0"/>
    <x v="1"/>
    <n v="6"/>
    <s v="Standard"/>
  </r>
  <r>
    <x v="486"/>
    <n v="63"/>
    <x v="1"/>
    <x v="234"/>
    <x v="224"/>
    <x v="1"/>
    <s v="Migraine"/>
    <x v="2"/>
    <n v="76652"/>
    <x v="0"/>
    <x v="2"/>
    <n v="3"/>
    <s v="High"/>
  </r>
  <r>
    <x v="487"/>
    <n v="29"/>
    <x v="0"/>
    <x v="267"/>
    <x v="211"/>
    <x v="3"/>
    <s v="Heart Disease"/>
    <x v="2"/>
    <n v="68506"/>
    <x v="0"/>
    <x v="0"/>
    <n v="1"/>
    <s v="High"/>
  </r>
  <r>
    <x v="488"/>
    <n v="77"/>
    <x v="0"/>
    <x v="268"/>
    <x v="269"/>
    <x v="4"/>
    <s v="Fracture"/>
    <x v="2"/>
    <n v="44154"/>
    <x v="1"/>
    <x v="0"/>
    <n v="3"/>
    <s v="Standard"/>
  </r>
  <r>
    <x v="489"/>
    <n v="54"/>
    <x v="0"/>
    <x v="164"/>
    <x v="114"/>
    <x v="3"/>
    <s v="Diabetes"/>
    <x v="0"/>
    <n v="62250"/>
    <x v="0"/>
    <x v="1"/>
    <n v="8"/>
    <s v="High"/>
  </r>
  <r>
    <x v="490"/>
    <n v="68"/>
    <x v="1"/>
    <x v="47"/>
    <x v="270"/>
    <x v="3"/>
    <s v="Fracture"/>
    <x v="0"/>
    <n v="52305"/>
    <x v="1"/>
    <x v="0"/>
    <n v="2"/>
    <s v="High"/>
  </r>
  <r>
    <x v="491"/>
    <n v="78"/>
    <x v="1"/>
    <x v="192"/>
    <x v="36"/>
    <x v="3"/>
    <s v="Heart Disease"/>
    <x v="3"/>
    <n v="85701"/>
    <x v="1"/>
    <x v="0"/>
    <n v="9"/>
    <s v="High"/>
  </r>
  <r>
    <x v="492"/>
    <n v="53"/>
    <x v="1"/>
    <x v="262"/>
    <x v="207"/>
    <x v="1"/>
    <s v="Diabetes"/>
    <x v="3"/>
    <n v="17205"/>
    <x v="0"/>
    <x v="1"/>
    <n v="1"/>
    <s v="Standard"/>
  </r>
  <r>
    <x v="493"/>
    <n v="59"/>
    <x v="1"/>
    <x v="206"/>
    <x v="271"/>
    <x v="4"/>
    <s v="Migraine"/>
    <x v="1"/>
    <n v="89384"/>
    <x v="0"/>
    <x v="2"/>
    <n v="6"/>
    <s v="High"/>
  </r>
  <r>
    <x v="494"/>
    <n v="57"/>
    <x v="1"/>
    <x v="240"/>
    <x v="272"/>
    <x v="1"/>
    <s v="Fracture"/>
    <x v="3"/>
    <n v="9843"/>
    <x v="0"/>
    <x v="0"/>
    <n v="10"/>
    <s v="Standard"/>
  </r>
  <r>
    <x v="495"/>
    <n v="50"/>
    <x v="0"/>
    <x v="15"/>
    <x v="132"/>
    <x v="4"/>
    <s v="Fracture"/>
    <x v="4"/>
    <n v="30934"/>
    <x v="1"/>
    <x v="0"/>
    <n v="9"/>
    <s v="Standard"/>
  </r>
  <r>
    <x v="496"/>
    <n v="64"/>
    <x v="1"/>
    <x v="264"/>
    <x v="13"/>
    <x v="4"/>
    <s v="Fracture"/>
    <x v="1"/>
    <n v="89266"/>
    <x v="0"/>
    <x v="0"/>
    <n v="6"/>
    <s v="High"/>
  </r>
  <r>
    <x v="497"/>
    <n v="36"/>
    <x v="1"/>
    <x v="119"/>
    <x v="59"/>
    <x v="3"/>
    <s v="Fever"/>
    <x v="0"/>
    <n v="62194"/>
    <x v="0"/>
    <x v="2"/>
    <n v="1"/>
    <s v="High"/>
  </r>
  <r>
    <x v="498"/>
    <n v="54"/>
    <x v="1"/>
    <x v="269"/>
    <x v="81"/>
    <x v="4"/>
    <s v="Migraine"/>
    <x v="1"/>
    <n v="10703"/>
    <x v="1"/>
    <x v="1"/>
    <n v="2"/>
    <s v="Standard"/>
  </r>
  <r>
    <x v="499"/>
    <n v="23"/>
    <x v="0"/>
    <x v="10"/>
    <x v="10"/>
    <x v="3"/>
    <s v="Fracture"/>
    <x v="2"/>
    <n v="73354"/>
    <x v="1"/>
    <x v="0"/>
    <n v="1"/>
    <s v="Hig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912C13-5D36-4C0B-B522-1E838FD3076D}"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5">
    <pivotField dataField="1" showAll="0"/>
    <pivotField showAll="0"/>
    <pivotField showAll="0">
      <items count="3">
        <item x="1"/>
        <item x="0"/>
        <item t="default"/>
      </items>
    </pivotField>
    <pivotField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axis="axisRow" showAll="0">
      <items count="6">
        <item x="0"/>
        <item x="2"/>
        <item x="3"/>
        <item x="1"/>
        <item x="4"/>
        <item t="default"/>
      </items>
    </pivotField>
    <pivotField showAll="0"/>
    <pivotField showAll="0">
      <items count="6">
        <item x="4"/>
        <item x="3"/>
        <item x="0"/>
        <item x="2"/>
        <item x="1"/>
        <item t="default"/>
      </items>
    </pivotField>
    <pivotField showAll="0"/>
    <pivotField showAll="0">
      <items count="3">
        <item x="0"/>
        <item x="1"/>
        <item t="default"/>
      </items>
    </pivotField>
    <pivotField showAll="0">
      <items count="4">
        <item x="1"/>
        <item x="0"/>
        <item x="2"/>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i>
    <i>
      <x v="1"/>
    </i>
    <i>
      <x v="2"/>
    </i>
    <i>
      <x v="3"/>
    </i>
    <i>
      <x v="4"/>
    </i>
    <i t="grand">
      <x/>
    </i>
  </rowItems>
  <colItems count="1">
    <i/>
  </colItems>
  <dataFields count="1">
    <dataField name="Count of Patient_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E834F8A-428B-48AA-A01A-87ED59977AE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9" firstHeaderRow="1" firstDataRow="1" firstDataCol="1"/>
  <pivotFields count="15">
    <pivotField showAll="0"/>
    <pivotField showAll="0"/>
    <pivotField showAll="0">
      <items count="3">
        <item x="1"/>
        <item x="0"/>
        <item t="default"/>
      </items>
    </pivotField>
    <pivotField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axis="axisRow" showAll="0">
      <items count="6">
        <item x="0"/>
        <item x="2"/>
        <item x="3"/>
        <item x="1"/>
        <item x="4"/>
        <item t="default"/>
      </items>
    </pivotField>
    <pivotField showAll="0"/>
    <pivotField showAll="0">
      <items count="6">
        <item x="4"/>
        <item x="3"/>
        <item x="0"/>
        <item x="2"/>
        <item x="1"/>
        <item t="default"/>
      </items>
    </pivotField>
    <pivotField dataField="1" showAll="0"/>
    <pivotField showAll="0">
      <items count="3">
        <item x="0"/>
        <item x="1"/>
        <item t="default"/>
      </items>
    </pivotField>
    <pivotField showAll="0">
      <items count="4">
        <item x="1"/>
        <item x="0"/>
        <item x="2"/>
        <item t="default"/>
      </items>
    </pivotField>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i>
    <i>
      <x v="1"/>
    </i>
    <i>
      <x v="2"/>
    </i>
    <i>
      <x v="3"/>
    </i>
    <i>
      <x v="4"/>
    </i>
    <i t="grand">
      <x/>
    </i>
  </rowItems>
  <colItems count="1">
    <i/>
  </colItems>
  <dataFields count="1">
    <dataField name="Sum of Treatment_Cost" fld="8" baseField="0" baseItem="0"/>
  </dataFields>
  <formats count="1">
    <format dxfId="0">
      <pivotArea collapsedLevelsAreSubtotals="1" fieldPosition="0">
        <references count="1">
          <reference field="5" count="0"/>
        </references>
      </pivotArea>
    </format>
  </formats>
  <chartFormats count="2">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749E4FD-D46E-4B5A-AF36-B7D6584080BF}"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pivotFields count="15">
    <pivotField dataField="1" showAll="0"/>
    <pivotField showAll="0"/>
    <pivotField showAll="0">
      <items count="3">
        <item x="1"/>
        <item x="0"/>
        <item t="default"/>
      </items>
    </pivotField>
    <pivotField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showAll="0">
      <items count="6">
        <item x="0"/>
        <item x="2"/>
        <item x="3"/>
        <item x="1"/>
        <item x="4"/>
        <item t="default"/>
      </items>
    </pivotField>
    <pivotField showAll="0"/>
    <pivotField axis="axisRow" showAll="0">
      <items count="6">
        <item x="4"/>
        <item x="3"/>
        <item x="0"/>
        <item x="2"/>
        <item x="1"/>
        <item t="default"/>
      </items>
    </pivotField>
    <pivotField dataField="1" showAll="0"/>
    <pivotField showAll="0">
      <items count="3">
        <item x="0"/>
        <item x="1"/>
        <item t="default"/>
      </items>
    </pivotField>
    <pivotField showAll="0">
      <items count="4">
        <item x="1"/>
        <item x="0"/>
        <item x="2"/>
        <item t="default"/>
      </items>
    </pivotField>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7"/>
  </rowFields>
  <rowItems count="6">
    <i>
      <x/>
    </i>
    <i>
      <x v="1"/>
    </i>
    <i>
      <x v="2"/>
    </i>
    <i>
      <x v="3"/>
    </i>
    <i>
      <x v="4"/>
    </i>
    <i t="grand">
      <x/>
    </i>
  </rowItems>
  <colFields count="1">
    <field x="-2"/>
  </colFields>
  <colItems count="2">
    <i>
      <x/>
    </i>
    <i i="1">
      <x v="1"/>
    </i>
  </colItems>
  <dataFields count="2">
    <dataField name="Sum of Treatment_Cost" fld="8" baseField="0" baseItem="0"/>
    <dataField name="Count of Patient_ID" fld="0" subtotal="count"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B3CB512-1945-442D-B25E-F90E3E44DFC2}"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8" firstHeaderRow="1" firstDataRow="1" firstDataCol="1"/>
  <pivotFields count="15">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pivotField showAll="0">
      <items count="3">
        <item x="1"/>
        <item x="0"/>
        <item t="default"/>
      </items>
    </pivotField>
    <pivotField axis="axisRow"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showAll="0">
      <items count="6">
        <item x="0"/>
        <item x="2"/>
        <item x="3"/>
        <item x="1"/>
        <item x="4"/>
        <item t="default"/>
      </items>
    </pivotField>
    <pivotField showAll="0"/>
    <pivotField showAll="0">
      <items count="6">
        <item x="4"/>
        <item x="3"/>
        <item x="0"/>
        <item x="2"/>
        <item x="1"/>
        <item t="default"/>
      </items>
    </pivotField>
    <pivotField showAll="0"/>
    <pivotField showAll="0">
      <items count="3">
        <item x="0"/>
        <item x="1"/>
        <item t="default"/>
      </items>
    </pivotField>
    <pivotField showAll="0">
      <items count="4">
        <item x="1"/>
        <item x="0"/>
        <item x="2"/>
        <item t="default"/>
      </items>
    </pivotField>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sd="0"/>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3">
    <field x="14"/>
    <field x="13"/>
    <field x="3"/>
  </rowFields>
  <rowItems count="5">
    <i>
      <x v="9"/>
    </i>
    <i>
      <x v="10"/>
    </i>
    <i>
      <x v="11"/>
    </i>
    <i>
      <x v="12"/>
    </i>
    <i t="grand">
      <x/>
    </i>
  </rowItems>
  <colItems count="1">
    <i/>
  </colItems>
  <dataFields count="1">
    <dataField name="Count of Patient_ID" fld="0" subtotal="count" baseField="0" baseItem="0"/>
  </dataFields>
  <chartFormats count="2">
    <chartFormat chart="0" format="0"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93" name="Discharge_Date">
      <autoFilter ref="A1">
        <filterColumn colId="0">
          <customFilters and="1">
            <customFilter operator="greaterThanOrEqual" val="45931"/>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A9FF115-C899-4FB7-81AB-DA907610D22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8" firstHeaderRow="1" firstDataRow="2" firstDataCol="1"/>
  <pivotFields count="15">
    <pivotField dataField="1" showAll="0"/>
    <pivotField showAll="0"/>
    <pivotField axis="axisCol" showAll="0">
      <items count="3">
        <item x="1"/>
        <item x="0"/>
        <item t="default"/>
      </items>
    </pivotField>
    <pivotField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showAll="0">
      <items count="6">
        <item x="0"/>
        <item x="2"/>
        <item x="3"/>
        <item x="1"/>
        <item x="4"/>
        <item t="default"/>
      </items>
    </pivotField>
    <pivotField showAll="0"/>
    <pivotField showAll="0">
      <items count="6">
        <item x="4"/>
        <item x="3"/>
        <item x="0"/>
        <item x="2"/>
        <item x="1"/>
        <item t="default"/>
      </items>
    </pivotField>
    <pivotField showAll="0"/>
    <pivotField showAll="0">
      <items count="3">
        <item x="0"/>
        <item x="1"/>
        <item t="default"/>
      </items>
    </pivotField>
    <pivotField axis="axisRow" showAll="0">
      <items count="4">
        <item x="1"/>
        <item x="0"/>
        <item x="2"/>
        <item t="default"/>
      </items>
    </pivotField>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10"/>
  </rowFields>
  <rowItems count="4">
    <i>
      <x/>
    </i>
    <i>
      <x v="1"/>
    </i>
    <i>
      <x v="2"/>
    </i>
    <i t="grand">
      <x/>
    </i>
  </rowItems>
  <colFields count="1">
    <field x="2"/>
  </colFields>
  <colItems count="3">
    <i>
      <x/>
    </i>
    <i>
      <x v="1"/>
    </i>
    <i t="grand">
      <x/>
    </i>
  </colItems>
  <dataFields count="1">
    <dataField name="Count of Patient_ID" fld="0" subtotal="count" baseField="0" baseItem="0"/>
  </dataFields>
  <chartFormats count="11">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6" format="18" series="1">
      <pivotArea type="data" outline="0" fieldPosition="0">
        <references count="2">
          <reference field="4294967294" count="1" selected="0">
            <x v="0"/>
          </reference>
          <reference field="2" count="1" selected="0">
            <x v="0"/>
          </reference>
        </references>
      </pivotArea>
    </chartFormat>
    <chartFormat chart="6" format="19">
      <pivotArea type="data" outline="0" fieldPosition="0">
        <references count="3">
          <reference field="4294967294" count="1" selected="0">
            <x v="0"/>
          </reference>
          <reference field="2" count="1" selected="0">
            <x v="0"/>
          </reference>
          <reference field="10" count="1" selected="0">
            <x v="0"/>
          </reference>
        </references>
      </pivotArea>
    </chartFormat>
    <chartFormat chart="6" format="20">
      <pivotArea type="data" outline="0" fieldPosition="0">
        <references count="3">
          <reference field="4294967294" count="1" selected="0">
            <x v="0"/>
          </reference>
          <reference field="2" count="1" selected="0">
            <x v="0"/>
          </reference>
          <reference field="10" count="1" selected="0">
            <x v="1"/>
          </reference>
        </references>
      </pivotArea>
    </chartFormat>
    <chartFormat chart="6" format="21">
      <pivotArea type="data" outline="0" fieldPosition="0">
        <references count="3">
          <reference field="4294967294" count="1" selected="0">
            <x v="0"/>
          </reference>
          <reference field="2" count="1" selected="0">
            <x v="0"/>
          </reference>
          <reference field="10" count="1" selected="0">
            <x v="2"/>
          </reference>
        </references>
      </pivotArea>
    </chartFormat>
    <chartFormat chart="6" format="22" series="1">
      <pivotArea type="data" outline="0" fieldPosition="0">
        <references count="2">
          <reference field="4294967294" count="1" selected="0">
            <x v="0"/>
          </reference>
          <reference field="2" count="1" selected="0">
            <x v="1"/>
          </reference>
        </references>
      </pivotArea>
    </chartFormat>
    <chartFormat chart="6" format="23">
      <pivotArea type="data" outline="0" fieldPosition="0">
        <references count="3">
          <reference field="4294967294" count="1" selected="0">
            <x v="0"/>
          </reference>
          <reference field="2" count="1" selected="0">
            <x v="1"/>
          </reference>
          <reference field="10" count="1" selected="0">
            <x v="1"/>
          </reference>
        </references>
      </pivotArea>
    </chartFormat>
    <chartFormat chart="6" format="24">
      <pivotArea type="data" outline="0" fieldPosition="0">
        <references count="3">
          <reference field="4294967294" count="1" selected="0">
            <x v="0"/>
          </reference>
          <reference field="2" count="1" selected="0">
            <x v="1"/>
          </reference>
          <reference field="10" count="1" selected="0">
            <x v="2"/>
          </reference>
        </references>
      </pivotArea>
    </chartFormat>
    <chartFormat chart="6" format="25"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36432D-18C7-4A0F-A9C0-EFC5D1ABFB86}"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6" firstHeaderRow="1" firstDataRow="1" firstDataCol="1"/>
  <pivotFields count="15">
    <pivotField showAll="0"/>
    <pivotField showAll="0"/>
    <pivotField showAll="0">
      <items count="3">
        <item x="1"/>
        <item x="0"/>
        <item t="default"/>
      </items>
    </pivotField>
    <pivotField numFmtId="14" showAll="0">
      <items count="271">
        <item x="25"/>
        <item x="87"/>
        <item x="98"/>
        <item x="77"/>
        <item x="53"/>
        <item x="164"/>
        <item x="143"/>
        <item x="125"/>
        <item x="65"/>
        <item x="162"/>
        <item x="109"/>
        <item x="174"/>
        <item x="130"/>
        <item x="2"/>
        <item x="156"/>
        <item x="91"/>
        <item x="21"/>
        <item x="183"/>
        <item x="217"/>
        <item x="90"/>
        <item x="149"/>
        <item x="228"/>
        <item x="168"/>
        <item x="233"/>
        <item x="175"/>
        <item x="192"/>
        <item x="122"/>
        <item x="200"/>
        <item x="35"/>
        <item x="210"/>
        <item x="102"/>
        <item x="195"/>
        <item x="105"/>
        <item x="263"/>
        <item x="230"/>
        <item x="97"/>
        <item x="169"/>
        <item x="92"/>
        <item x="147"/>
        <item x="213"/>
        <item x="3"/>
        <item x="265"/>
        <item x="34"/>
        <item x="207"/>
        <item x="68"/>
        <item x="75"/>
        <item x="8"/>
        <item x="148"/>
        <item x="166"/>
        <item x="69"/>
        <item x="269"/>
        <item x="165"/>
        <item x="180"/>
        <item x="237"/>
        <item x="61"/>
        <item x="120"/>
        <item x="136"/>
        <item x="46"/>
        <item x="153"/>
        <item x="89"/>
        <item x="72"/>
        <item x="99"/>
        <item x="128"/>
        <item x="62"/>
        <item x="172"/>
        <item x="216"/>
        <item x="42"/>
        <item x="114"/>
        <item x="234"/>
        <item x="124"/>
        <item x="13"/>
        <item x="129"/>
        <item x="201"/>
        <item x="94"/>
        <item x="112"/>
        <item x="1"/>
        <item x="264"/>
        <item x="32"/>
        <item x="243"/>
        <item x="208"/>
        <item x="14"/>
        <item x="132"/>
        <item x="135"/>
        <item x="254"/>
        <item x="223"/>
        <item x="6"/>
        <item x="209"/>
        <item x="11"/>
        <item x="10"/>
        <item x="20"/>
        <item x="146"/>
        <item x="27"/>
        <item x="191"/>
        <item x="9"/>
        <item x="31"/>
        <item x="170"/>
        <item x="39"/>
        <item x="51"/>
        <item x="76"/>
        <item x="22"/>
        <item x="5"/>
        <item x="80"/>
        <item x="78"/>
        <item x="108"/>
        <item x="126"/>
        <item x="171"/>
        <item x="177"/>
        <item x="257"/>
        <item x="142"/>
        <item x="127"/>
        <item x="214"/>
        <item x="248"/>
        <item x="93"/>
        <item x="96"/>
        <item x="18"/>
        <item x="17"/>
        <item x="157"/>
        <item x="244"/>
        <item x="255"/>
        <item x="41"/>
        <item x="43"/>
        <item x="235"/>
        <item x="30"/>
        <item x="219"/>
        <item x="82"/>
        <item x="15"/>
        <item x="100"/>
        <item x="167"/>
        <item x="232"/>
        <item x="194"/>
        <item x="196"/>
        <item x="55"/>
        <item x="150"/>
        <item x="133"/>
        <item x="134"/>
        <item x="12"/>
        <item x="236"/>
        <item x="245"/>
        <item x="181"/>
        <item x="71"/>
        <item x="212"/>
        <item x="139"/>
        <item x="19"/>
        <item x="159"/>
        <item x="260"/>
        <item x="202"/>
        <item x="247"/>
        <item x="107"/>
        <item x="58"/>
        <item x="242"/>
        <item x="186"/>
        <item x="48"/>
        <item x="193"/>
        <item x="220"/>
        <item x="49"/>
        <item x="103"/>
        <item x="261"/>
        <item x="118"/>
        <item x="154"/>
        <item x="246"/>
        <item x="227"/>
        <item x="44"/>
        <item x="184"/>
        <item x="28"/>
        <item x="16"/>
        <item x="161"/>
        <item x="106"/>
        <item x="249"/>
        <item x="70"/>
        <item x="63"/>
        <item x="64"/>
        <item x="74"/>
        <item x="250"/>
        <item x="36"/>
        <item x="84"/>
        <item x="57"/>
        <item x="205"/>
        <item x="113"/>
        <item x="4"/>
        <item x="0"/>
        <item x="199"/>
        <item x="119"/>
        <item x="60"/>
        <item x="251"/>
        <item x="189"/>
        <item x="145"/>
        <item x="140"/>
        <item x="45"/>
        <item x="266"/>
        <item x="226"/>
        <item x="47"/>
        <item x="256"/>
        <item x="123"/>
        <item x="268"/>
        <item x="95"/>
        <item x="54"/>
        <item x="79"/>
        <item x="259"/>
        <item x="231"/>
        <item x="66"/>
        <item x="197"/>
        <item x="176"/>
        <item x="211"/>
        <item x="262"/>
        <item x="239"/>
        <item x="215"/>
        <item x="138"/>
        <item x="218"/>
        <item x="110"/>
        <item x="190"/>
        <item x="253"/>
        <item x="258"/>
        <item x="173"/>
        <item x="198"/>
        <item x="188"/>
        <item x="37"/>
        <item x="7"/>
        <item x="187"/>
        <item x="85"/>
        <item x="160"/>
        <item x="206"/>
        <item x="116"/>
        <item x="131"/>
        <item x="137"/>
        <item x="204"/>
        <item x="155"/>
        <item x="222"/>
        <item x="52"/>
        <item x="50"/>
        <item x="163"/>
        <item x="56"/>
        <item x="179"/>
        <item x="40"/>
        <item x="83"/>
        <item x="225"/>
        <item x="221"/>
        <item x="81"/>
        <item x="23"/>
        <item x="240"/>
        <item x="88"/>
        <item x="203"/>
        <item x="141"/>
        <item x="117"/>
        <item x="151"/>
        <item x="24"/>
        <item x="238"/>
        <item x="252"/>
        <item x="115"/>
        <item x="267"/>
        <item x="101"/>
        <item x="38"/>
        <item x="29"/>
        <item x="224"/>
        <item x="182"/>
        <item x="67"/>
        <item x="73"/>
        <item x="26"/>
        <item x="104"/>
        <item x="86"/>
        <item x="59"/>
        <item x="158"/>
        <item x="33"/>
        <item x="144"/>
        <item x="229"/>
        <item x="185"/>
        <item x="111"/>
        <item x="121"/>
        <item x="178"/>
        <item x="241"/>
        <item x="152"/>
        <item t="default"/>
      </items>
    </pivotField>
    <pivotField numFmtId="14" showAll="0">
      <items count="274">
        <item x="25"/>
        <item x="208"/>
        <item x="104"/>
        <item x="55"/>
        <item x="260"/>
        <item x="204"/>
        <item x="127"/>
        <item x="83"/>
        <item x="114"/>
        <item x="67"/>
        <item x="220"/>
        <item x="144"/>
        <item x="268"/>
        <item x="150"/>
        <item x="159"/>
        <item x="2"/>
        <item x="167"/>
        <item x="60"/>
        <item x="241"/>
        <item x="94"/>
        <item x="96"/>
        <item x="21"/>
        <item x="152"/>
        <item x="212"/>
        <item x="79"/>
        <item x="88"/>
        <item x="95"/>
        <item x="168"/>
        <item x="148"/>
        <item x="262"/>
        <item x="185"/>
        <item x="36"/>
        <item x="126"/>
        <item x="217"/>
        <item x="194"/>
        <item x="206"/>
        <item x="147"/>
        <item x="108"/>
        <item x="3"/>
        <item x="256"/>
        <item x="103"/>
        <item x="97"/>
        <item x="102"/>
        <item x="237"/>
        <item x="234"/>
        <item x="202"/>
        <item x="35"/>
        <item x="69"/>
        <item x="259"/>
        <item x="149"/>
        <item x="164"/>
        <item x="7"/>
        <item x="70"/>
        <item x="81"/>
        <item x="229"/>
        <item x="75"/>
        <item x="162"/>
        <item x="64"/>
        <item x="192"/>
        <item x="239"/>
        <item x="93"/>
        <item x="255"/>
        <item x="178"/>
        <item x="47"/>
        <item x="65"/>
        <item x="131"/>
        <item x="106"/>
        <item x="78"/>
        <item x="166"/>
        <item x="243"/>
        <item x="73"/>
        <item x="43"/>
        <item x="173"/>
        <item x="191"/>
        <item x="118"/>
        <item x="254"/>
        <item x="224"/>
        <item x="232"/>
        <item x="117"/>
        <item x="1"/>
        <item x="205"/>
        <item x="252"/>
        <item x="12"/>
        <item x="33"/>
        <item x="99"/>
        <item x="27"/>
        <item x="13"/>
        <item x="134"/>
        <item x="138"/>
        <item x="5"/>
        <item x="235"/>
        <item x="136"/>
        <item x="10"/>
        <item x="214"/>
        <item x="258"/>
        <item x="9"/>
        <item x="151"/>
        <item x="26"/>
        <item x="105"/>
        <item x="29"/>
        <item x="19"/>
        <item x="188"/>
        <item x="20"/>
        <item x="8"/>
        <item x="265"/>
        <item x="42"/>
        <item x="4"/>
        <item x="53"/>
        <item x="82"/>
        <item x="40"/>
        <item x="85"/>
        <item x="22"/>
        <item x="225"/>
        <item x="84"/>
        <item x="190"/>
        <item x="130"/>
        <item x="113"/>
        <item x="165"/>
        <item x="176"/>
        <item x="143"/>
        <item x="17"/>
        <item x="184"/>
        <item x="218"/>
        <item x="98"/>
        <item x="101"/>
        <item x="170"/>
        <item x="16"/>
        <item x="157"/>
        <item x="44"/>
        <item x="32"/>
        <item x="87"/>
        <item x="133"/>
        <item x="215"/>
        <item x="160"/>
        <item x="14"/>
        <item x="132"/>
        <item x="231"/>
        <item x="153"/>
        <item x="109"/>
        <item x="135"/>
        <item x="57"/>
        <item x="242"/>
        <item x="177"/>
        <item x="11"/>
        <item x="121"/>
        <item x="244"/>
        <item x="174"/>
        <item x="18"/>
        <item x="179"/>
        <item x="72"/>
        <item x="209"/>
        <item x="112"/>
        <item x="246"/>
        <item x="233"/>
        <item x="195"/>
        <item x="61"/>
        <item x="247"/>
        <item x="197"/>
        <item x="50"/>
        <item x="181"/>
        <item x="253"/>
        <item x="128"/>
        <item x="187"/>
        <item x="74"/>
        <item x="201"/>
        <item x="51"/>
        <item x="123"/>
        <item x="30"/>
        <item x="155"/>
        <item x="15"/>
        <item x="171"/>
        <item x="45"/>
        <item x="180"/>
        <item x="111"/>
        <item x="249"/>
        <item x="238"/>
        <item x="257"/>
        <item x="226"/>
        <item x="80"/>
        <item x="251"/>
        <item x="89"/>
        <item x="37"/>
        <item x="71"/>
        <item x="66"/>
        <item x="240"/>
        <item x="59"/>
        <item x="199"/>
        <item x="0"/>
        <item x="63"/>
        <item x="124"/>
        <item x="48"/>
        <item x="161"/>
        <item x="146"/>
        <item x="139"/>
        <item x="189"/>
        <item x="245"/>
        <item x="270"/>
        <item x="49"/>
        <item x="142"/>
        <item x="223"/>
        <item x="46"/>
        <item x="269"/>
        <item x="56"/>
        <item x="230"/>
        <item x="68"/>
        <item x="221"/>
        <item x="100"/>
        <item x="207"/>
        <item x="266"/>
        <item x="263"/>
        <item x="169"/>
        <item x="250"/>
        <item x="213"/>
        <item x="210"/>
        <item x="267"/>
        <item x="137"/>
        <item x="264"/>
        <item x="115"/>
        <item x="183"/>
        <item x="90"/>
        <item x="38"/>
        <item x="227"/>
        <item x="193"/>
        <item x="120"/>
        <item x="6"/>
        <item x="200"/>
        <item x="271"/>
        <item x="156"/>
        <item x="236"/>
        <item x="198"/>
        <item x="54"/>
        <item x="228"/>
        <item x="222"/>
        <item x="219"/>
        <item x="107"/>
        <item x="216"/>
        <item x="58"/>
        <item x="41"/>
        <item x="52"/>
        <item x="203"/>
        <item x="86"/>
        <item x="172"/>
        <item x="140"/>
        <item x="77"/>
        <item x="92"/>
        <item x="196"/>
        <item x="163"/>
        <item x="23"/>
        <item x="24"/>
        <item x="272"/>
        <item x="182"/>
        <item x="122"/>
        <item x="211"/>
        <item x="154"/>
        <item x="261"/>
        <item x="31"/>
        <item x="119"/>
        <item x="39"/>
        <item x="76"/>
        <item x="110"/>
        <item x="129"/>
        <item x="28"/>
        <item x="175"/>
        <item x="91"/>
        <item x="62"/>
        <item x="248"/>
        <item x="145"/>
        <item x="158"/>
        <item x="34"/>
        <item x="141"/>
        <item x="116"/>
        <item x="125"/>
        <item x="186"/>
        <item t="default"/>
      </items>
    </pivotField>
    <pivotField showAll="0">
      <items count="6">
        <item x="0"/>
        <item x="2"/>
        <item x="3"/>
        <item x="1"/>
        <item x="4"/>
        <item t="default"/>
      </items>
    </pivotField>
    <pivotField showAll="0"/>
    <pivotField showAll="0">
      <items count="6">
        <item x="4"/>
        <item x="3"/>
        <item x="0"/>
        <item x="2"/>
        <item x="1"/>
        <item t="default"/>
      </items>
    </pivotField>
    <pivotField dataField="1" showAll="0"/>
    <pivotField axis="axisRow" showAll="0">
      <items count="3">
        <item x="0"/>
        <item x="1"/>
        <item t="default"/>
      </items>
    </pivotField>
    <pivotField showAll="0">
      <items count="4">
        <item x="1"/>
        <item x="0"/>
        <item x="2"/>
        <item t="default"/>
      </items>
    </pivotField>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9"/>
  </rowFields>
  <rowItems count="3">
    <i>
      <x/>
    </i>
    <i>
      <x v="1"/>
    </i>
    <i t="grand">
      <x/>
    </i>
  </rowItems>
  <colItems count="1">
    <i/>
  </colItems>
  <dataFields count="1">
    <dataField name="Sum of Treatment_Cost" fld="8" baseField="0" baseItem="0"/>
  </dataFields>
  <chartFormats count="4">
    <chartFormat chart="0" format="0" series="1">
      <pivotArea type="data" outline="0" fieldPosition="0">
        <references count="1">
          <reference field="4294967294" count="1" selected="0">
            <x v="0"/>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9" count="1" selected="0">
            <x v="0"/>
          </reference>
        </references>
      </pivotArea>
    </chartFormat>
    <chartFormat chart="9" format="12">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28B46CC0-0880-4D32-AAF6-9D87DABB9849}" sourceName="Gender">
  <pivotTables>
    <pivotTable tabId="6" name="PivotTable3"/>
    <pivotTable tabId="7" name="PivotTable4"/>
    <pivotTable tabId="15" name="PivotTable14"/>
    <pivotTable tabId="9" name="PivotTable7"/>
    <pivotTable tabId="10" name="PivotTable8"/>
    <pivotTable tabId="11" name="PivotTable9"/>
  </pivotTables>
  <data>
    <tabular pivotCacheId="442930943">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E179C67-D24D-4DF0-B9D7-0F8CA7A54A78}" sourceName="Department">
  <pivotTables>
    <pivotTable tabId="6" name="PivotTable3"/>
    <pivotTable tabId="7" name="PivotTable4"/>
    <pivotTable tabId="15" name="PivotTable14"/>
    <pivotTable tabId="9" name="PivotTable7"/>
    <pivotTable tabId="10" name="PivotTable8"/>
    <pivotTable tabId="11" name="PivotTable9"/>
  </pivotTables>
  <data>
    <tabular pivotCacheId="442930943">
      <items count="5">
        <i x="0" s="1"/>
        <i x="2" s="1"/>
        <i x="3" s="1"/>
        <i x="1"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octor" xr10:uid="{9561D6E0-88FC-4476-AA1F-C1C7EC49911E}" sourceName="Doctor">
  <pivotTables>
    <pivotTable tabId="6" name="PivotTable3"/>
    <pivotTable tabId="7" name="PivotTable4"/>
    <pivotTable tabId="15" name="PivotTable14"/>
    <pivotTable tabId="9" name="PivotTable7"/>
    <pivotTable tabId="10" name="PivotTable8"/>
    <pivotTable tabId="11" name="PivotTable9"/>
  </pivotTables>
  <data>
    <tabular pivotCacheId="442930943">
      <items count="5">
        <i x="4" s="1"/>
        <i x="3" s="1"/>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06208B1D-1268-4BD8-B462-F35B622E66DD}" sourceName="Payment_Type">
  <pivotTables>
    <pivotTable tabId="6" name="PivotTable3"/>
    <pivotTable tabId="7" name="PivotTable4"/>
    <pivotTable tabId="15" name="PivotTable14"/>
    <pivotTable tabId="9" name="PivotTable7"/>
    <pivotTable tabId="10" name="PivotTable8"/>
    <pivotTable tabId="11" name="PivotTable9"/>
  </pivotTables>
  <data>
    <tabular pivotCacheId="442930943">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ABA8C08A-8441-48C5-99E0-8614264832B4}" sourceName="Outcome">
  <pivotTables>
    <pivotTable tabId="6" name="PivotTable3"/>
    <pivotTable tabId="7" name="PivotTable4"/>
    <pivotTable tabId="15" name="PivotTable14"/>
    <pivotTable tabId="9" name="PivotTable7"/>
    <pivotTable tabId="10" name="PivotTable8"/>
    <pivotTable tabId="11" name="PivotTable9"/>
  </pivotTables>
  <data>
    <tabular pivotCacheId="442930943">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6F3042CA-0635-48F8-9E63-9E6CD0E867F3}" cache="Slicer_Gender" caption="Gender" rowHeight="234950"/>
  <slicer name="Department" xr10:uid="{4CC21993-A05E-4057-B109-3ACEF91840CB}" cache="Slicer_Department" caption="Department" rowHeight="234950"/>
  <slicer name="Doctor" xr10:uid="{6509D19A-B0E2-4AC1-864A-BEAB71E6A63B}" cache="Slicer_Doctor" caption="Doctor" rowHeight="234950"/>
  <slicer name="Payment_Type" xr10:uid="{D84ED152-1DA9-47FE-A913-3DE175217568}" cache="Slicer_Payment_Type" caption="Payment_Type" rowHeight="234950"/>
  <slicer name="Outcome" xr10:uid="{4F34F240-3236-40C3-A7F7-7FFDDD6CFBE1}" cache="Slicer_Outcome" caption="Outco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1" xr10:uid="{748E7CE3-6311-47C7-B5BD-700E543CFA3F}" cache="Slicer_Gender" caption="Gender" style="SlicerStyleDark1" rowHeight="234950"/>
  <slicer name="Department 1" xr10:uid="{3C45CCE6-AA30-4F4B-BF39-42352E3EFCB1}" cache="Slicer_Department" caption="Department" style="SlicerStyleDark1" rowHeight="234950"/>
  <slicer name="Doctor 1" xr10:uid="{FD2F37E0-E58E-4C4D-BACE-20F9401B16F4}" cache="Slicer_Doctor" caption="Doctor" style="SlicerStyleDark1" rowHeight="234950"/>
  <slicer name="Payment_Type 1" xr10:uid="{87280C81-E444-45E5-883B-F842517D22A7}" cache="Slicer_Payment_Type" caption="Payment_Type" style="SlicerStyleDark1" rowHeight="234950"/>
  <slicer name="Outcome 1" xr10:uid="{66E1D482-E0C7-4635-8F13-6E8AFE1445F7}" cache="Slicer_Outcome" caption="Outcome"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99F492-D119-4C16-B8A4-E7F3983422A1}" name="Table1" displayName="Table1" ref="A1:M501" totalsRowShown="0">
  <autoFilter ref="A1:M501" xr:uid="{CF99F492-D119-4C16-B8A4-E7F3983422A1}"/>
  <tableColumns count="13">
    <tableColumn id="1" xr3:uid="{A799D17D-80FF-4FC9-95A0-9CF65EAB1615}" name="Patient_ID"/>
    <tableColumn id="2" xr3:uid="{91FA026A-682B-4BB9-8B5A-80E89F82BE80}" name="Age"/>
    <tableColumn id="3" xr3:uid="{1C82BE40-E97E-48E5-8644-842233628D0A}" name="Gender"/>
    <tableColumn id="4" xr3:uid="{0E1996E3-CABF-497A-9093-FE3DDE58A151}" name="Admission_Date" dataDxfId="4"/>
    <tableColumn id="5" xr3:uid="{5CEC90FA-9DCB-4A27-ABA6-138680F2009B}" name="Discharge_Date" dataDxfId="3"/>
    <tableColumn id="6" xr3:uid="{D3E9939B-148A-4C64-9A8E-DBFBDA5597B1}" name="Department"/>
    <tableColumn id="7" xr3:uid="{B18489B3-1B4A-4219-9FBB-41C0D232F50C}" name="Diagnosis"/>
    <tableColumn id="8" xr3:uid="{BBEB38A9-BCF4-45F2-87A1-8903B60692D8}" name="Doctor"/>
    <tableColumn id="9" xr3:uid="{F2BFA3C1-11DC-47E3-9778-7F777CE6DDA5}" name="Treatment_Cost"/>
    <tableColumn id="10" xr3:uid="{05219CA4-C25F-4660-A156-B3C2159A42E3}" name="Payment_Type"/>
    <tableColumn id="11" xr3:uid="{0B2168C6-B6F6-45AC-B0F2-E8D96E583561}" name="Outcome"/>
    <tableColumn id="12" xr3:uid="{22AF3968-E04E-46FA-947F-BC176C2AE5CE}" name="LENGTH STAY" dataDxfId="2">
      <calculatedColumnFormula>Table1[[#This Row],[Discharge_Date]]-Table1[[#This Row],[Admission_Date]]</calculatedColumnFormula>
    </tableColumn>
    <tableColumn id="13" xr3:uid="{51729A20-1524-4ABB-AA7B-71F0AF18FC1F}" name="REVENUE CATEGORY" dataDxfId="1">
      <calculatedColumnFormula>IF(Table1[[#This Row],[Treatment_Cost]]&gt;50000,"High","Standard")</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Admission_Date" xr10:uid="{9B15DDE0-E43A-44BD-8C29-F191E03D96BF}" sourceName="Admission_Date">
  <pivotTables>
    <pivotTable tabId="9" name="PivotTable7"/>
  </pivotTables>
  <state minimalRefreshVersion="6" lastRefreshVersion="6" pivotCacheId="442930943" filterType="unknown">
    <bounds startDate="2025-01-01T00:00:00" endDate="2027-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ischarge_Date" xr10:uid="{493F2812-53C2-44B2-B944-26451CDDBE2D}" sourceName="Discharge_Date">
  <pivotTables>
    <pivotTable tabId="9" name="PivotTable7"/>
  </pivotTables>
  <state minimalRefreshVersion="6" lastRefreshVersion="6" pivotCacheId="442930943" filterType="dateBetween">
    <selection startDate="2025-10-01T00:00:00" endDate="2025-12-31T00:00:00"/>
    <bounds startDate="2025-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dmission_Date" xr10:uid="{E0B69D6A-63FA-48F8-A2AF-2F41096AF389}" cache="NativeTimeline_Admission_Date" caption="Admission_Date" level="2" selectionLevel="2" scrollPosition="2026-06-06T00:00:00"/>
  <timeline name="Discharge_Date" xr10:uid="{80CE06FD-F6BB-4687-9E4F-EFBAACDCC117}" cache="NativeTimeline_Discharge_Date" caption="Discharge_Date" level="2" selectionLevel="1" scrollPosition="2026-06-06T00:00:00" style="TimeSlicerStyleDark6"/>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Admission_Date 1" xr10:uid="{D098200A-B1CD-461A-B38D-94402BA023D3}" cache="NativeTimeline_Admission_Date" caption="Admission_Date" level="1" selectionLevel="1" scrollPosition="2025-01-01T00:00:00" style="TimeSlicerStyleDark2"/>
  <timeline name="Discharge_Date 1" xr10:uid="{B034EE0B-83C2-45AB-A418-38DE114CB509}" cache="NativeTimeline_Discharge_Date" caption="Discharge_Date" level="1" selectionLevel="1" scrollPosition="2025-01-01T00:00:00" style="TimeSlicerStyleDark6"/>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DA172-A796-494A-B3E7-1F137B433CCC}">
  <dimension ref="A3:B9"/>
  <sheetViews>
    <sheetView workbookViewId="0">
      <selection activeCell="G20" sqref="G20"/>
    </sheetView>
  </sheetViews>
  <sheetFormatPr defaultRowHeight="14.5" x14ac:dyDescent="0.35"/>
  <cols>
    <col min="1" max="1" width="12.54296875" bestFit="1" customWidth="1"/>
    <col min="2" max="2" width="17.81640625" bestFit="1" customWidth="1"/>
  </cols>
  <sheetData>
    <row r="3" spans="1:2" x14ac:dyDescent="0.35">
      <c r="A3" s="2" t="s">
        <v>545</v>
      </c>
      <c r="B3" t="s">
        <v>547</v>
      </c>
    </row>
    <row r="4" spans="1:2" x14ac:dyDescent="0.35">
      <c r="A4" s="3" t="s">
        <v>13</v>
      </c>
      <c r="B4">
        <v>109</v>
      </c>
    </row>
    <row r="5" spans="1:2" x14ac:dyDescent="0.35">
      <c r="A5" s="3" t="s">
        <v>25</v>
      </c>
      <c r="B5">
        <v>98</v>
      </c>
    </row>
    <row r="6" spans="1:2" x14ac:dyDescent="0.35">
      <c r="A6" s="3" t="s">
        <v>36</v>
      </c>
      <c r="B6">
        <v>110</v>
      </c>
    </row>
    <row r="7" spans="1:2" x14ac:dyDescent="0.35">
      <c r="A7" s="3" t="s">
        <v>19</v>
      </c>
      <c r="B7">
        <v>103</v>
      </c>
    </row>
    <row r="8" spans="1:2" x14ac:dyDescent="0.35">
      <c r="A8" s="3" t="s">
        <v>48</v>
      </c>
      <c r="B8">
        <v>80</v>
      </c>
    </row>
    <row r="9" spans="1:2" x14ac:dyDescent="0.35">
      <c r="A9" s="3" t="s">
        <v>546</v>
      </c>
      <c r="B9">
        <v>500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2B75F-1C2A-4A9B-A6AD-27A08F145809}">
  <dimension ref="A3:B9"/>
  <sheetViews>
    <sheetView workbookViewId="0">
      <selection activeCell="M15" sqref="M15"/>
    </sheetView>
  </sheetViews>
  <sheetFormatPr defaultRowHeight="14.5" x14ac:dyDescent="0.35"/>
  <cols>
    <col min="1" max="1" width="12.54296875" bestFit="1" customWidth="1"/>
    <col min="2" max="2" width="21.08984375" bestFit="1" customWidth="1"/>
  </cols>
  <sheetData>
    <row r="3" spans="1:2" x14ac:dyDescent="0.35">
      <c r="A3" s="2" t="s">
        <v>545</v>
      </c>
      <c r="B3" t="s">
        <v>548</v>
      </c>
    </row>
    <row r="4" spans="1:2" x14ac:dyDescent="0.35">
      <c r="A4" s="3" t="s">
        <v>13</v>
      </c>
      <c r="B4" s="4">
        <v>6155976</v>
      </c>
    </row>
    <row r="5" spans="1:2" x14ac:dyDescent="0.35">
      <c r="A5" s="3" t="s">
        <v>25</v>
      </c>
      <c r="B5" s="4">
        <v>5542188</v>
      </c>
    </row>
    <row r="6" spans="1:2" x14ac:dyDescent="0.35">
      <c r="A6" s="3" t="s">
        <v>36</v>
      </c>
      <c r="B6" s="4">
        <v>5681018</v>
      </c>
    </row>
    <row r="7" spans="1:2" x14ac:dyDescent="0.35">
      <c r="A7" s="3" t="s">
        <v>19</v>
      </c>
      <c r="B7" s="4">
        <v>5154118</v>
      </c>
    </row>
    <row r="8" spans="1:2" x14ac:dyDescent="0.35">
      <c r="A8" s="3" t="s">
        <v>48</v>
      </c>
      <c r="B8" s="4">
        <v>4220594</v>
      </c>
    </row>
    <row r="9" spans="1:2" x14ac:dyDescent="0.35">
      <c r="A9" s="3" t="s">
        <v>546</v>
      </c>
      <c r="B9">
        <v>26753894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8B79A-4215-44B4-958A-751D623B513C}">
  <dimension ref="A3:C9"/>
  <sheetViews>
    <sheetView workbookViewId="0">
      <selection activeCell="N7" sqref="N7"/>
    </sheetView>
  </sheetViews>
  <sheetFormatPr defaultRowHeight="14.5" x14ac:dyDescent="0.35"/>
  <cols>
    <col min="1" max="1" width="12.54296875" bestFit="1" customWidth="1"/>
    <col min="2" max="2" width="21.08984375" bestFit="1" customWidth="1"/>
    <col min="3" max="3" width="17.81640625" bestFit="1" customWidth="1"/>
  </cols>
  <sheetData>
    <row r="3" spans="1:3" x14ac:dyDescent="0.35">
      <c r="A3" s="2" t="s">
        <v>545</v>
      </c>
      <c r="B3" t="s">
        <v>548</v>
      </c>
      <c r="C3" t="s">
        <v>547</v>
      </c>
    </row>
    <row r="4" spans="1:3" x14ac:dyDescent="0.35">
      <c r="A4" s="3" t="s">
        <v>34</v>
      </c>
      <c r="B4">
        <v>6353790</v>
      </c>
      <c r="C4">
        <v>113</v>
      </c>
    </row>
    <row r="5" spans="1:3" x14ac:dyDescent="0.35">
      <c r="A5" s="3" t="s">
        <v>31</v>
      </c>
      <c r="B5">
        <v>4895140</v>
      </c>
      <c r="C5">
        <v>92</v>
      </c>
    </row>
    <row r="6" spans="1:3" x14ac:dyDescent="0.35">
      <c r="A6" s="3" t="s">
        <v>15</v>
      </c>
      <c r="B6">
        <v>4414701</v>
      </c>
      <c r="C6">
        <v>91</v>
      </c>
    </row>
    <row r="7" spans="1:3" x14ac:dyDescent="0.35">
      <c r="A7" s="3" t="s">
        <v>27</v>
      </c>
      <c r="B7">
        <v>5913082</v>
      </c>
      <c r="C7">
        <v>105</v>
      </c>
    </row>
    <row r="8" spans="1:3" x14ac:dyDescent="0.35">
      <c r="A8" s="3" t="s">
        <v>21</v>
      </c>
      <c r="B8">
        <v>5177181</v>
      </c>
      <c r="C8">
        <v>99</v>
      </c>
    </row>
    <row r="9" spans="1:3" x14ac:dyDescent="0.35">
      <c r="A9" s="3" t="s">
        <v>546</v>
      </c>
      <c r="B9">
        <v>26753894</v>
      </c>
      <c r="C9">
        <v>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B79F-ACF8-4F92-A7A8-A270BDE3AE0E}">
  <dimension ref="A3:B8"/>
  <sheetViews>
    <sheetView workbookViewId="0">
      <selection activeCell="E2" sqref="E2"/>
    </sheetView>
  </sheetViews>
  <sheetFormatPr defaultRowHeight="14.5" x14ac:dyDescent="0.35"/>
  <cols>
    <col min="1" max="1" width="12.54296875" bestFit="1" customWidth="1"/>
    <col min="2" max="2" width="17.81640625" bestFit="1" customWidth="1"/>
  </cols>
  <sheetData>
    <row r="3" spans="1:2" x14ac:dyDescent="0.35">
      <c r="A3" s="2" t="s">
        <v>545</v>
      </c>
      <c r="B3" t="s">
        <v>547</v>
      </c>
    </row>
    <row r="4" spans="1:2" x14ac:dyDescent="0.35">
      <c r="A4" s="3" t="s">
        <v>549</v>
      </c>
      <c r="B4">
        <v>3</v>
      </c>
    </row>
    <row r="5" spans="1:2" x14ac:dyDescent="0.35">
      <c r="A5" s="3" t="s">
        <v>550</v>
      </c>
      <c r="B5">
        <v>46</v>
      </c>
    </row>
    <row r="6" spans="1:2" x14ac:dyDescent="0.35">
      <c r="A6" s="3" t="s">
        <v>551</v>
      </c>
      <c r="B6">
        <v>48</v>
      </c>
    </row>
    <row r="7" spans="1:2" x14ac:dyDescent="0.35">
      <c r="A7" s="3" t="s">
        <v>552</v>
      </c>
      <c r="B7">
        <v>24</v>
      </c>
    </row>
    <row r="8" spans="1:2" x14ac:dyDescent="0.35">
      <c r="A8" s="3" t="s">
        <v>546</v>
      </c>
      <c r="B8">
        <v>121</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D5513-391D-43F1-862F-70F3CDCB6D26}">
  <dimension ref="A3:D8"/>
  <sheetViews>
    <sheetView workbookViewId="0">
      <selection activeCell="A5" sqref="A5"/>
    </sheetView>
  </sheetViews>
  <sheetFormatPr defaultRowHeight="14.5" x14ac:dyDescent="0.35"/>
  <cols>
    <col min="1" max="1" width="17.81640625" bestFit="1" customWidth="1"/>
    <col min="2" max="2" width="15.54296875" bestFit="1" customWidth="1"/>
    <col min="3" max="3" width="5.1796875" bestFit="1" customWidth="1"/>
    <col min="4" max="4" width="10.81640625" bestFit="1" customWidth="1"/>
  </cols>
  <sheetData>
    <row r="3" spans="1:4" x14ac:dyDescent="0.35">
      <c r="A3" s="2" t="s">
        <v>547</v>
      </c>
      <c r="B3" s="2" t="s">
        <v>553</v>
      </c>
    </row>
    <row r="4" spans="1:4" x14ac:dyDescent="0.35">
      <c r="A4" s="2" t="s">
        <v>545</v>
      </c>
      <c r="B4" t="s">
        <v>24</v>
      </c>
      <c r="C4" t="s">
        <v>12</v>
      </c>
      <c r="D4" t="s">
        <v>546</v>
      </c>
    </row>
    <row r="5" spans="1:4" x14ac:dyDescent="0.35">
      <c r="A5" s="3" t="s">
        <v>22</v>
      </c>
      <c r="B5">
        <v>88</v>
      </c>
      <c r="C5">
        <v>91</v>
      </c>
      <c r="D5">
        <v>179</v>
      </c>
    </row>
    <row r="6" spans="1:4" x14ac:dyDescent="0.35">
      <c r="A6" s="3" t="s">
        <v>17</v>
      </c>
      <c r="B6">
        <v>80</v>
      </c>
      <c r="C6">
        <v>78</v>
      </c>
      <c r="D6">
        <v>158</v>
      </c>
    </row>
    <row r="7" spans="1:4" x14ac:dyDescent="0.35">
      <c r="A7" s="3" t="s">
        <v>29</v>
      </c>
      <c r="B7">
        <v>82</v>
      </c>
      <c r="C7">
        <v>81</v>
      </c>
      <c r="D7">
        <v>163</v>
      </c>
    </row>
    <row r="8" spans="1:4" x14ac:dyDescent="0.35">
      <c r="A8" s="3" t="s">
        <v>546</v>
      </c>
      <c r="B8">
        <v>250</v>
      </c>
      <c r="C8">
        <v>250</v>
      </c>
      <c r="D8">
        <v>500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FADA-8462-4926-A74E-1081F5FCCFCC}">
  <dimension ref="A3:B6"/>
  <sheetViews>
    <sheetView workbookViewId="0">
      <selection activeCell="D13" sqref="D13"/>
    </sheetView>
  </sheetViews>
  <sheetFormatPr defaultRowHeight="14.5" x14ac:dyDescent="0.35"/>
  <cols>
    <col min="1" max="1" width="12.54296875" bestFit="1" customWidth="1"/>
    <col min="2" max="2" width="21.08984375" bestFit="1" customWidth="1"/>
  </cols>
  <sheetData>
    <row r="3" spans="1:2" x14ac:dyDescent="0.35">
      <c r="A3" s="2" t="s">
        <v>545</v>
      </c>
      <c r="B3" t="s">
        <v>548</v>
      </c>
    </row>
    <row r="4" spans="1:2" x14ac:dyDescent="0.35">
      <c r="A4" s="3" t="s">
        <v>16</v>
      </c>
      <c r="B4">
        <v>13772957</v>
      </c>
    </row>
    <row r="5" spans="1:2" x14ac:dyDescent="0.35">
      <c r="A5" s="3" t="s">
        <v>28</v>
      </c>
      <c r="B5">
        <v>12980937</v>
      </c>
    </row>
    <row r="6" spans="1:2" x14ac:dyDescent="0.35">
      <c r="A6" s="3" t="s">
        <v>546</v>
      </c>
      <c r="B6">
        <v>26753894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53D3D-5894-4313-8E90-6954211CF03F}">
  <sheetPr codeName="Sheet1"/>
  <dimension ref="A1:M501"/>
  <sheetViews>
    <sheetView topLeftCell="A78" workbookViewId="0">
      <selection activeCell="F85" sqref="F85"/>
    </sheetView>
  </sheetViews>
  <sheetFormatPr defaultRowHeight="14.5" x14ac:dyDescent="0.35"/>
  <cols>
    <col min="1" max="1" width="12" bestFit="1" customWidth="1"/>
    <col min="2" max="2" width="6.453125" bestFit="1" customWidth="1"/>
    <col min="3" max="3" width="9.36328125" bestFit="1" customWidth="1"/>
    <col min="4" max="4" width="16.90625" bestFit="1" customWidth="1"/>
    <col min="5" max="5" width="16.36328125" bestFit="1" customWidth="1"/>
    <col min="6" max="6" width="13.36328125" bestFit="1" customWidth="1"/>
    <col min="7" max="7" width="12.1796875" bestFit="1" customWidth="1"/>
    <col min="8" max="8" width="10" bestFit="1" customWidth="1"/>
    <col min="9" max="9" width="16.81640625" bestFit="1" customWidth="1"/>
    <col min="10" max="10" width="16" bestFit="1" customWidth="1"/>
    <col min="11" max="11" width="15.08984375" bestFit="1" customWidth="1"/>
    <col min="12" max="12" width="14.54296875" bestFit="1" customWidth="1"/>
    <col min="13" max="13" width="20.90625" bestFit="1" customWidth="1"/>
  </cols>
  <sheetData>
    <row r="1" spans="1:13" x14ac:dyDescent="0.35">
      <c r="A1" t="s">
        <v>0</v>
      </c>
      <c r="B1" t="s">
        <v>1</v>
      </c>
      <c r="C1" t="s">
        <v>2</v>
      </c>
      <c r="D1" t="s">
        <v>3</v>
      </c>
      <c r="E1" t="s">
        <v>4</v>
      </c>
      <c r="F1" t="s">
        <v>5</v>
      </c>
      <c r="G1" t="s">
        <v>6</v>
      </c>
      <c r="H1" t="s">
        <v>7</v>
      </c>
      <c r="I1" t="s">
        <v>8</v>
      </c>
      <c r="J1" t="s">
        <v>9</v>
      </c>
      <c r="K1" t="s">
        <v>10</v>
      </c>
      <c r="L1" t="s">
        <v>533</v>
      </c>
      <c r="M1" t="s">
        <v>534</v>
      </c>
    </row>
    <row r="2" spans="1:13" x14ac:dyDescent="0.35">
      <c r="A2" t="s">
        <v>11</v>
      </c>
      <c r="B2">
        <v>25</v>
      </c>
      <c r="C2" t="s">
        <v>12</v>
      </c>
      <c r="D2" s="1">
        <v>45907</v>
      </c>
      <c r="E2" s="1">
        <v>45912</v>
      </c>
      <c r="F2" t="s">
        <v>13</v>
      </c>
      <c r="G2" t="s">
        <v>14</v>
      </c>
      <c r="H2" t="s">
        <v>15</v>
      </c>
      <c r="I2">
        <v>97053</v>
      </c>
      <c r="J2" t="s">
        <v>16</v>
      </c>
      <c r="K2" t="s">
        <v>17</v>
      </c>
      <c r="L2">
        <f>Table1[[#This Row],[Discharge_Date]]-Table1[[#This Row],[Admission_Date]]</f>
        <v>5</v>
      </c>
      <c r="M2" t="str">
        <f>IF(Table1[[#This Row],[Treatment_Cost]]&gt;50000,"High","Standard")</f>
        <v>High</v>
      </c>
    </row>
    <row r="3" spans="1:13" x14ac:dyDescent="0.35">
      <c r="A3" t="s">
        <v>18</v>
      </c>
      <c r="B3">
        <v>74</v>
      </c>
      <c r="C3" t="s">
        <v>12</v>
      </c>
      <c r="D3" s="1">
        <v>45769</v>
      </c>
      <c r="E3" s="1">
        <v>45770</v>
      </c>
      <c r="F3" t="s">
        <v>19</v>
      </c>
      <c r="G3" t="s">
        <v>20</v>
      </c>
      <c r="H3" t="s">
        <v>21</v>
      </c>
      <c r="I3">
        <v>66574</v>
      </c>
      <c r="J3" t="s">
        <v>16</v>
      </c>
      <c r="K3" t="s">
        <v>22</v>
      </c>
      <c r="L3">
        <f>Table1[[#This Row],[Discharge_Date]]-Table1[[#This Row],[Admission_Date]]</f>
        <v>1</v>
      </c>
      <c r="M3" t="str">
        <f>IF(Table1[[#This Row],[Treatment_Cost]]&gt;50000,"High","Standard")</f>
        <v>High</v>
      </c>
    </row>
    <row r="4" spans="1:13" x14ac:dyDescent="0.35">
      <c r="A4" t="s">
        <v>23</v>
      </c>
      <c r="B4">
        <v>53</v>
      </c>
      <c r="C4" t="s">
        <v>24</v>
      </c>
      <c r="D4" s="1">
        <v>45678</v>
      </c>
      <c r="E4" s="1">
        <v>45680</v>
      </c>
      <c r="F4" t="s">
        <v>25</v>
      </c>
      <c r="G4" t="s">
        <v>26</v>
      </c>
      <c r="H4" t="s">
        <v>27</v>
      </c>
      <c r="I4">
        <v>97636</v>
      </c>
      <c r="J4" t="s">
        <v>28</v>
      </c>
      <c r="K4" t="s">
        <v>29</v>
      </c>
      <c r="L4">
        <f>Table1[[#This Row],[Discharge_Date]]-Table1[[#This Row],[Admission_Date]]</f>
        <v>2</v>
      </c>
      <c r="M4" t="str">
        <f>IF(Table1[[#This Row],[Treatment_Cost]]&gt;50000,"High","Standard")</f>
        <v>High</v>
      </c>
    </row>
    <row r="5" spans="1:13" x14ac:dyDescent="0.35">
      <c r="A5" t="s">
        <v>30</v>
      </c>
      <c r="B5">
        <v>73</v>
      </c>
      <c r="C5" t="s">
        <v>12</v>
      </c>
      <c r="D5" s="1">
        <v>45714</v>
      </c>
      <c r="E5" s="1">
        <v>45716</v>
      </c>
      <c r="F5" t="s">
        <v>25</v>
      </c>
      <c r="G5" t="s">
        <v>14</v>
      </c>
      <c r="H5" t="s">
        <v>31</v>
      </c>
      <c r="I5">
        <v>61426</v>
      </c>
      <c r="J5" t="s">
        <v>16</v>
      </c>
      <c r="K5" t="s">
        <v>17</v>
      </c>
      <c r="L5">
        <f>Table1[[#This Row],[Discharge_Date]]-Table1[[#This Row],[Admission_Date]]</f>
        <v>2</v>
      </c>
      <c r="M5" t="str">
        <f>IF(Table1[[#This Row],[Treatment_Cost]]&gt;50000,"High","Standard")</f>
        <v>High</v>
      </c>
    </row>
    <row r="6" spans="1:13" x14ac:dyDescent="0.35">
      <c r="A6" t="s">
        <v>32</v>
      </c>
      <c r="B6">
        <v>37</v>
      </c>
      <c r="C6" t="s">
        <v>12</v>
      </c>
      <c r="D6" s="1">
        <v>45906</v>
      </c>
      <c r="E6" s="1">
        <v>45912</v>
      </c>
      <c r="F6" t="s">
        <v>25</v>
      </c>
      <c r="G6" t="s">
        <v>33</v>
      </c>
      <c r="H6" t="s">
        <v>34</v>
      </c>
      <c r="I6">
        <v>88633</v>
      </c>
      <c r="J6" t="s">
        <v>28</v>
      </c>
      <c r="K6" t="s">
        <v>29</v>
      </c>
      <c r="L6">
        <f>Table1[[#This Row],[Discharge_Date]]-Table1[[#This Row],[Admission_Date]]</f>
        <v>6</v>
      </c>
      <c r="M6" t="str">
        <f>IF(Table1[[#This Row],[Treatment_Cost]]&gt;50000,"High","Standard")</f>
        <v>High</v>
      </c>
    </row>
    <row r="7" spans="1:13" x14ac:dyDescent="0.35">
      <c r="A7" t="s">
        <v>35</v>
      </c>
      <c r="B7">
        <v>21</v>
      </c>
      <c r="C7" t="s">
        <v>12</v>
      </c>
      <c r="D7" s="1">
        <v>45802</v>
      </c>
      <c r="E7" s="1">
        <v>45803</v>
      </c>
      <c r="F7" t="s">
        <v>36</v>
      </c>
      <c r="G7" t="s">
        <v>20</v>
      </c>
      <c r="H7" t="s">
        <v>31</v>
      </c>
      <c r="I7">
        <v>71888</v>
      </c>
      <c r="J7" t="s">
        <v>28</v>
      </c>
      <c r="K7" t="s">
        <v>17</v>
      </c>
      <c r="L7">
        <f>Table1[[#This Row],[Discharge_Date]]-Table1[[#This Row],[Admission_Date]]</f>
        <v>1</v>
      </c>
      <c r="M7" t="str">
        <f>IF(Table1[[#This Row],[Treatment_Cost]]&gt;50000,"High","Standard")</f>
        <v>High</v>
      </c>
    </row>
    <row r="8" spans="1:13" x14ac:dyDescent="0.35">
      <c r="A8" t="s">
        <v>37</v>
      </c>
      <c r="B8">
        <v>74</v>
      </c>
      <c r="C8" t="s">
        <v>24</v>
      </c>
      <c r="D8" s="1">
        <v>45782</v>
      </c>
      <c r="E8" s="1">
        <v>45783</v>
      </c>
      <c r="F8" t="s">
        <v>25</v>
      </c>
      <c r="G8" t="s">
        <v>33</v>
      </c>
      <c r="H8" t="s">
        <v>34</v>
      </c>
      <c r="I8">
        <v>40468</v>
      </c>
      <c r="J8" t="s">
        <v>16</v>
      </c>
      <c r="K8" t="s">
        <v>22</v>
      </c>
      <c r="L8">
        <f>Table1[[#This Row],[Discharge_Date]]-Table1[[#This Row],[Admission_Date]]</f>
        <v>1</v>
      </c>
      <c r="M8" t="str">
        <f>IF(Table1[[#This Row],[Treatment_Cost]]&gt;50000,"High","Standard")</f>
        <v>Standard</v>
      </c>
    </row>
    <row r="9" spans="1:13" x14ac:dyDescent="0.35">
      <c r="A9" t="s">
        <v>38</v>
      </c>
      <c r="B9">
        <v>24</v>
      </c>
      <c r="C9" t="s">
        <v>24</v>
      </c>
      <c r="D9" s="1">
        <v>45950</v>
      </c>
      <c r="E9" s="1">
        <v>45959</v>
      </c>
      <c r="F9" t="s">
        <v>19</v>
      </c>
      <c r="G9" t="s">
        <v>26</v>
      </c>
      <c r="H9" t="s">
        <v>27</v>
      </c>
      <c r="I9">
        <v>47252</v>
      </c>
      <c r="J9" t="s">
        <v>28</v>
      </c>
      <c r="K9" t="s">
        <v>17</v>
      </c>
      <c r="L9">
        <f>Table1[[#This Row],[Discharge_Date]]-Table1[[#This Row],[Admission_Date]]</f>
        <v>9</v>
      </c>
      <c r="M9" t="str">
        <f>IF(Table1[[#This Row],[Treatment_Cost]]&gt;50000,"High","Standard")</f>
        <v>Standard</v>
      </c>
    </row>
    <row r="10" spans="1:13" x14ac:dyDescent="0.35">
      <c r="A10" t="s">
        <v>39</v>
      </c>
      <c r="B10">
        <v>46</v>
      </c>
      <c r="C10" t="s">
        <v>12</v>
      </c>
      <c r="D10" s="1">
        <v>45726</v>
      </c>
      <c r="E10" s="1">
        <v>45731</v>
      </c>
      <c r="F10" t="s">
        <v>36</v>
      </c>
      <c r="G10" t="s">
        <v>40</v>
      </c>
      <c r="H10" t="s">
        <v>34</v>
      </c>
      <c r="I10">
        <v>47953</v>
      </c>
      <c r="J10" t="s">
        <v>16</v>
      </c>
      <c r="K10" t="s">
        <v>29</v>
      </c>
      <c r="L10">
        <f>Table1[[#This Row],[Discharge_Date]]-Table1[[#This Row],[Admission_Date]]</f>
        <v>5</v>
      </c>
      <c r="M10" t="str">
        <f>IF(Table1[[#This Row],[Treatment_Cost]]&gt;50000,"High","Standard")</f>
        <v>Standard</v>
      </c>
    </row>
    <row r="11" spans="1:13" x14ac:dyDescent="0.35">
      <c r="A11" t="s">
        <v>41</v>
      </c>
      <c r="B11">
        <v>40</v>
      </c>
      <c r="C11" t="s">
        <v>12</v>
      </c>
      <c r="D11" s="1">
        <v>45794</v>
      </c>
      <c r="E11" s="1">
        <v>45800</v>
      </c>
      <c r="F11" t="s">
        <v>19</v>
      </c>
      <c r="G11" t="s">
        <v>14</v>
      </c>
      <c r="H11" t="s">
        <v>15</v>
      </c>
      <c r="I11">
        <v>11948</v>
      </c>
      <c r="J11" t="s">
        <v>28</v>
      </c>
      <c r="K11" t="s">
        <v>22</v>
      </c>
      <c r="L11">
        <f>Table1[[#This Row],[Discharge_Date]]-Table1[[#This Row],[Admission_Date]]</f>
        <v>6</v>
      </c>
      <c r="M11" t="str">
        <f>IF(Table1[[#This Row],[Treatment_Cost]]&gt;50000,"High","Standard")</f>
        <v>Standard</v>
      </c>
    </row>
    <row r="12" spans="1:13" x14ac:dyDescent="0.35">
      <c r="A12" t="s">
        <v>42</v>
      </c>
      <c r="B12">
        <v>22</v>
      </c>
      <c r="C12" t="s">
        <v>24</v>
      </c>
      <c r="D12" s="1">
        <v>45786</v>
      </c>
      <c r="E12" s="1">
        <v>45790</v>
      </c>
      <c r="F12" t="s">
        <v>25</v>
      </c>
      <c r="G12" t="s">
        <v>40</v>
      </c>
      <c r="H12" t="s">
        <v>34</v>
      </c>
      <c r="I12">
        <v>19252</v>
      </c>
      <c r="J12" t="s">
        <v>28</v>
      </c>
      <c r="K12" t="s">
        <v>17</v>
      </c>
      <c r="L12">
        <f>Table1[[#This Row],[Discharge_Date]]-Table1[[#This Row],[Admission_Date]]</f>
        <v>4</v>
      </c>
      <c r="M12" t="str">
        <f>IF(Table1[[#This Row],[Treatment_Cost]]&gt;50000,"High","Standard")</f>
        <v>Standard</v>
      </c>
    </row>
    <row r="13" spans="1:13" x14ac:dyDescent="0.35">
      <c r="A13" t="s">
        <v>43</v>
      </c>
      <c r="B13">
        <v>60</v>
      </c>
      <c r="C13" t="s">
        <v>12</v>
      </c>
      <c r="D13" s="1">
        <v>45785</v>
      </c>
      <c r="E13" s="1">
        <v>45787</v>
      </c>
      <c r="F13" t="s">
        <v>36</v>
      </c>
      <c r="G13" t="s">
        <v>20</v>
      </c>
      <c r="H13" t="s">
        <v>21</v>
      </c>
      <c r="I13">
        <v>81257</v>
      </c>
      <c r="J13" t="s">
        <v>16</v>
      </c>
      <c r="K13" t="s">
        <v>22</v>
      </c>
      <c r="L13">
        <f>Table1[[#This Row],[Discharge_Date]]-Table1[[#This Row],[Admission_Date]]</f>
        <v>2</v>
      </c>
      <c r="M13" t="str">
        <f>IF(Table1[[#This Row],[Treatment_Cost]]&gt;50000,"High","Standard")</f>
        <v>High</v>
      </c>
    </row>
    <row r="14" spans="1:13" x14ac:dyDescent="0.35">
      <c r="A14" t="s">
        <v>44</v>
      </c>
      <c r="B14">
        <v>49</v>
      </c>
      <c r="C14" t="s">
        <v>24</v>
      </c>
      <c r="D14" s="1">
        <v>45847</v>
      </c>
      <c r="E14" s="1">
        <v>45854</v>
      </c>
      <c r="F14" t="s">
        <v>13</v>
      </c>
      <c r="G14" t="s">
        <v>40</v>
      </c>
      <c r="H14" t="s">
        <v>34</v>
      </c>
      <c r="I14">
        <v>17940</v>
      </c>
      <c r="J14" t="s">
        <v>16</v>
      </c>
      <c r="K14" t="s">
        <v>29</v>
      </c>
      <c r="L14">
        <f>Table1[[#This Row],[Discharge_Date]]-Table1[[#This Row],[Admission_Date]]</f>
        <v>7</v>
      </c>
      <c r="M14" t="str">
        <f>IF(Table1[[#This Row],[Treatment_Cost]]&gt;50000,"High","Standard")</f>
        <v>Standard</v>
      </c>
    </row>
    <row r="15" spans="1:13" x14ac:dyDescent="0.35">
      <c r="A15" t="s">
        <v>45</v>
      </c>
      <c r="B15">
        <v>72</v>
      </c>
      <c r="C15" t="s">
        <v>24</v>
      </c>
      <c r="D15" s="1">
        <v>45763</v>
      </c>
      <c r="E15" s="1">
        <v>45773</v>
      </c>
      <c r="F15" t="s">
        <v>25</v>
      </c>
      <c r="G15" t="s">
        <v>33</v>
      </c>
      <c r="H15" t="s">
        <v>21</v>
      </c>
      <c r="I15">
        <v>8329</v>
      </c>
      <c r="J15" t="s">
        <v>28</v>
      </c>
      <c r="K15" t="s">
        <v>29</v>
      </c>
      <c r="L15">
        <f>Table1[[#This Row],[Discharge_Date]]-Table1[[#This Row],[Admission_Date]]</f>
        <v>10</v>
      </c>
      <c r="M15" t="str">
        <f>IF(Table1[[#This Row],[Treatment_Cost]]&gt;50000,"High","Standard")</f>
        <v>Standard</v>
      </c>
    </row>
    <row r="16" spans="1:13" x14ac:dyDescent="0.35">
      <c r="A16" t="s">
        <v>46</v>
      </c>
      <c r="B16">
        <v>62</v>
      </c>
      <c r="C16" t="s">
        <v>12</v>
      </c>
      <c r="D16" s="1">
        <v>45777</v>
      </c>
      <c r="E16" s="1">
        <v>45778</v>
      </c>
      <c r="F16" t="s">
        <v>19</v>
      </c>
      <c r="G16" t="s">
        <v>33</v>
      </c>
      <c r="H16" t="s">
        <v>27</v>
      </c>
      <c r="I16">
        <v>47881</v>
      </c>
      <c r="J16" t="s">
        <v>16</v>
      </c>
      <c r="K16" t="s">
        <v>29</v>
      </c>
      <c r="L16">
        <f>Table1[[#This Row],[Discharge_Date]]-Table1[[#This Row],[Admission_Date]]</f>
        <v>1</v>
      </c>
      <c r="M16" t="str">
        <f>IF(Table1[[#This Row],[Treatment_Cost]]&gt;50000,"High","Standard")</f>
        <v>Standard</v>
      </c>
    </row>
    <row r="17" spans="1:13" x14ac:dyDescent="0.35">
      <c r="A17" t="s">
        <v>47</v>
      </c>
      <c r="B17">
        <v>61</v>
      </c>
      <c r="C17" t="s">
        <v>24</v>
      </c>
      <c r="D17" s="1">
        <v>45834</v>
      </c>
      <c r="E17" s="1">
        <v>45840</v>
      </c>
      <c r="F17" t="s">
        <v>48</v>
      </c>
      <c r="G17" t="s">
        <v>26</v>
      </c>
      <c r="H17" t="s">
        <v>34</v>
      </c>
      <c r="I17">
        <v>94883</v>
      </c>
      <c r="J17" t="s">
        <v>16</v>
      </c>
      <c r="K17" t="s">
        <v>17</v>
      </c>
      <c r="L17">
        <f>Table1[[#This Row],[Discharge_Date]]-Table1[[#This Row],[Admission_Date]]</f>
        <v>6</v>
      </c>
      <c r="M17" t="str">
        <f>IF(Table1[[#This Row],[Treatment_Cost]]&gt;50000,"High","Standard")</f>
        <v>High</v>
      </c>
    </row>
    <row r="18" spans="1:13" x14ac:dyDescent="0.35">
      <c r="A18" t="s">
        <v>49</v>
      </c>
      <c r="B18">
        <v>52</v>
      </c>
      <c r="C18" t="s">
        <v>24</v>
      </c>
      <c r="D18" s="1">
        <v>45887</v>
      </c>
      <c r="E18" s="1">
        <v>45889</v>
      </c>
      <c r="F18" t="s">
        <v>13</v>
      </c>
      <c r="G18" t="s">
        <v>26</v>
      </c>
      <c r="H18" t="s">
        <v>27</v>
      </c>
      <c r="I18">
        <v>78810</v>
      </c>
      <c r="J18" t="s">
        <v>28</v>
      </c>
      <c r="K18" t="s">
        <v>22</v>
      </c>
      <c r="L18">
        <f>Table1[[#This Row],[Discharge_Date]]-Table1[[#This Row],[Admission_Date]]</f>
        <v>2</v>
      </c>
      <c r="M18" t="str">
        <f>IF(Table1[[#This Row],[Treatment_Cost]]&gt;50000,"High","Standard")</f>
        <v>High</v>
      </c>
    </row>
    <row r="19" spans="1:13" x14ac:dyDescent="0.35">
      <c r="A19" t="s">
        <v>50</v>
      </c>
      <c r="B19">
        <v>58</v>
      </c>
      <c r="C19" t="s">
        <v>12</v>
      </c>
      <c r="D19" s="1">
        <v>45820</v>
      </c>
      <c r="E19" s="1">
        <v>45828</v>
      </c>
      <c r="F19" t="s">
        <v>13</v>
      </c>
      <c r="G19" t="s">
        <v>40</v>
      </c>
      <c r="H19" t="s">
        <v>21</v>
      </c>
      <c r="I19">
        <v>67921</v>
      </c>
      <c r="J19" t="s">
        <v>28</v>
      </c>
      <c r="K19" t="s">
        <v>22</v>
      </c>
      <c r="L19">
        <f>Table1[[#This Row],[Discharge_Date]]-Table1[[#This Row],[Admission_Date]]</f>
        <v>8</v>
      </c>
      <c r="M19" t="str">
        <f>IF(Table1[[#This Row],[Treatment_Cost]]&gt;50000,"High","Standard")</f>
        <v>High</v>
      </c>
    </row>
    <row r="20" spans="1:13" x14ac:dyDescent="0.35">
      <c r="A20" t="s">
        <v>51</v>
      </c>
      <c r="B20">
        <v>73</v>
      </c>
      <c r="C20" t="s">
        <v>24</v>
      </c>
      <c r="D20" s="1">
        <v>45819</v>
      </c>
      <c r="E20" s="1">
        <v>45822</v>
      </c>
      <c r="F20" t="s">
        <v>25</v>
      </c>
      <c r="G20" t="s">
        <v>20</v>
      </c>
      <c r="H20" t="s">
        <v>31</v>
      </c>
      <c r="I20">
        <v>78932</v>
      </c>
      <c r="J20" t="s">
        <v>28</v>
      </c>
      <c r="K20" t="s">
        <v>22</v>
      </c>
      <c r="L20">
        <f>Table1[[#This Row],[Discharge_Date]]-Table1[[#This Row],[Admission_Date]]</f>
        <v>3</v>
      </c>
      <c r="M20" t="str">
        <f>IF(Table1[[#This Row],[Treatment_Cost]]&gt;50000,"High","Standard")</f>
        <v>High</v>
      </c>
    </row>
    <row r="21" spans="1:13" x14ac:dyDescent="0.35">
      <c r="A21" t="s">
        <v>52</v>
      </c>
      <c r="B21">
        <v>49</v>
      </c>
      <c r="C21" t="s">
        <v>24</v>
      </c>
      <c r="D21" s="1">
        <v>45857</v>
      </c>
      <c r="E21" s="1">
        <v>45858</v>
      </c>
      <c r="F21" t="s">
        <v>13</v>
      </c>
      <c r="G21" t="s">
        <v>33</v>
      </c>
      <c r="H21" t="s">
        <v>31</v>
      </c>
      <c r="I21">
        <v>79343</v>
      </c>
      <c r="J21" t="s">
        <v>16</v>
      </c>
      <c r="K21" t="s">
        <v>22</v>
      </c>
      <c r="L21">
        <f>Table1[[#This Row],[Discharge_Date]]-Table1[[#This Row],[Admission_Date]]</f>
        <v>1</v>
      </c>
      <c r="M21" t="str">
        <f>IF(Table1[[#This Row],[Treatment_Cost]]&gt;50000,"High","Standard")</f>
        <v>High</v>
      </c>
    </row>
    <row r="22" spans="1:13" x14ac:dyDescent="0.35">
      <c r="A22" t="s">
        <v>53</v>
      </c>
      <c r="B22">
        <v>33</v>
      </c>
      <c r="C22" t="s">
        <v>12</v>
      </c>
      <c r="D22" s="1">
        <v>45788</v>
      </c>
      <c r="E22" s="1">
        <v>45796</v>
      </c>
      <c r="F22" t="s">
        <v>13</v>
      </c>
      <c r="G22" t="s">
        <v>14</v>
      </c>
      <c r="H22" t="s">
        <v>31</v>
      </c>
      <c r="I22">
        <v>54505</v>
      </c>
      <c r="J22" t="s">
        <v>16</v>
      </c>
      <c r="K22" t="s">
        <v>17</v>
      </c>
      <c r="L22">
        <f>Table1[[#This Row],[Discharge_Date]]-Table1[[#This Row],[Admission_Date]]</f>
        <v>8</v>
      </c>
      <c r="M22" t="str">
        <f>IF(Table1[[#This Row],[Treatment_Cost]]&gt;50000,"High","Standard")</f>
        <v>High</v>
      </c>
    </row>
    <row r="23" spans="1:13" x14ac:dyDescent="0.35">
      <c r="A23" t="s">
        <v>54</v>
      </c>
      <c r="B23">
        <v>69</v>
      </c>
      <c r="C23" t="s">
        <v>12</v>
      </c>
      <c r="D23" s="1">
        <v>45794</v>
      </c>
      <c r="E23" s="1">
        <v>45799</v>
      </c>
      <c r="F23" t="s">
        <v>48</v>
      </c>
      <c r="G23" t="s">
        <v>14</v>
      </c>
      <c r="H23" t="s">
        <v>34</v>
      </c>
      <c r="I23">
        <v>58685</v>
      </c>
      <c r="J23" t="s">
        <v>16</v>
      </c>
      <c r="K23" t="s">
        <v>22</v>
      </c>
      <c r="L23">
        <f>Table1[[#This Row],[Discharge_Date]]-Table1[[#This Row],[Admission_Date]]</f>
        <v>5</v>
      </c>
      <c r="M23" t="str">
        <f>IF(Table1[[#This Row],[Treatment_Cost]]&gt;50000,"High","Standard")</f>
        <v>High</v>
      </c>
    </row>
    <row r="24" spans="1:13" x14ac:dyDescent="0.35">
      <c r="A24" t="s">
        <v>55</v>
      </c>
      <c r="B24">
        <v>63</v>
      </c>
      <c r="C24" t="s">
        <v>24</v>
      </c>
      <c r="D24" s="1">
        <v>45686</v>
      </c>
      <c r="E24" s="1">
        <v>45689</v>
      </c>
      <c r="F24" t="s">
        <v>36</v>
      </c>
      <c r="G24" t="s">
        <v>40</v>
      </c>
      <c r="H24" t="s">
        <v>34</v>
      </c>
      <c r="I24">
        <v>46970</v>
      </c>
      <c r="J24" t="s">
        <v>16</v>
      </c>
      <c r="K24" t="s">
        <v>17</v>
      </c>
      <c r="L24">
        <f>Table1[[#This Row],[Discharge_Date]]-Table1[[#This Row],[Admission_Date]]</f>
        <v>3</v>
      </c>
      <c r="M24" t="str">
        <f>IF(Table1[[#This Row],[Treatment_Cost]]&gt;50000,"High","Standard")</f>
        <v>Standard</v>
      </c>
    </row>
    <row r="25" spans="1:13" x14ac:dyDescent="0.35">
      <c r="A25" t="s">
        <v>56</v>
      </c>
      <c r="B25">
        <v>32</v>
      </c>
      <c r="C25" t="s">
        <v>12</v>
      </c>
      <c r="D25" s="1">
        <v>45801</v>
      </c>
      <c r="E25" s="1">
        <v>45811</v>
      </c>
      <c r="F25" t="s">
        <v>36</v>
      </c>
      <c r="G25" t="s">
        <v>14</v>
      </c>
      <c r="H25" t="s">
        <v>34</v>
      </c>
      <c r="I25">
        <v>96661</v>
      </c>
      <c r="J25" t="s">
        <v>16</v>
      </c>
      <c r="K25" t="s">
        <v>17</v>
      </c>
      <c r="L25">
        <f>Table1[[#This Row],[Discharge_Date]]-Table1[[#This Row],[Admission_Date]]</f>
        <v>10</v>
      </c>
      <c r="M25" t="str">
        <f>IF(Table1[[#This Row],[Treatment_Cost]]&gt;50000,"High","Standard")</f>
        <v>High</v>
      </c>
    </row>
    <row r="26" spans="1:13" x14ac:dyDescent="0.35">
      <c r="A26" t="s">
        <v>57</v>
      </c>
      <c r="B26">
        <v>20</v>
      </c>
      <c r="C26" t="s">
        <v>12</v>
      </c>
      <c r="D26" s="1">
        <v>45975</v>
      </c>
      <c r="E26" s="1">
        <v>45984</v>
      </c>
      <c r="F26" t="s">
        <v>36</v>
      </c>
      <c r="G26" t="s">
        <v>20</v>
      </c>
      <c r="H26" t="s">
        <v>34</v>
      </c>
      <c r="I26">
        <v>36078</v>
      </c>
      <c r="J26" t="s">
        <v>16</v>
      </c>
      <c r="K26" t="s">
        <v>22</v>
      </c>
      <c r="L26">
        <f>Table1[[#This Row],[Discharge_Date]]-Table1[[#This Row],[Admission_Date]]</f>
        <v>9</v>
      </c>
      <c r="M26" t="str">
        <f>IF(Table1[[#This Row],[Treatment_Cost]]&gt;50000,"High","Standard")</f>
        <v>Standard</v>
      </c>
    </row>
    <row r="27" spans="1:13" x14ac:dyDescent="0.35">
      <c r="A27" t="s">
        <v>58</v>
      </c>
      <c r="B27">
        <v>30</v>
      </c>
      <c r="C27" t="s">
        <v>24</v>
      </c>
      <c r="D27" s="1">
        <v>45984</v>
      </c>
      <c r="E27" s="1">
        <v>45985</v>
      </c>
      <c r="F27" t="s">
        <v>13</v>
      </c>
      <c r="G27" t="s">
        <v>14</v>
      </c>
      <c r="H27" t="s">
        <v>21</v>
      </c>
      <c r="I27">
        <v>84604</v>
      </c>
      <c r="J27" t="s">
        <v>28</v>
      </c>
      <c r="K27" t="s">
        <v>29</v>
      </c>
      <c r="L27">
        <f>Table1[[#This Row],[Discharge_Date]]-Table1[[#This Row],[Admission_Date]]</f>
        <v>1</v>
      </c>
      <c r="M27" t="str">
        <f>IF(Table1[[#This Row],[Treatment_Cost]]&gt;50000,"High","Standard")</f>
        <v>High</v>
      </c>
    </row>
    <row r="28" spans="1:13" x14ac:dyDescent="0.35">
      <c r="A28" t="s">
        <v>59</v>
      </c>
      <c r="B28">
        <v>20</v>
      </c>
      <c r="C28" t="s">
        <v>24</v>
      </c>
      <c r="D28" s="1">
        <v>45659</v>
      </c>
      <c r="E28" s="1">
        <v>45660</v>
      </c>
      <c r="F28" t="s">
        <v>48</v>
      </c>
      <c r="G28" t="s">
        <v>14</v>
      </c>
      <c r="H28" t="s">
        <v>21</v>
      </c>
      <c r="I28">
        <v>18591</v>
      </c>
      <c r="J28" t="s">
        <v>28</v>
      </c>
      <c r="K28" t="s">
        <v>22</v>
      </c>
      <c r="L28">
        <f>Table1[[#This Row],[Discharge_Date]]-Table1[[#This Row],[Admission_Date]]</f>
        <v>1</v>
      </c>
      <c r="M28" t="str">
        <f>IF(Table1[[#This Row],[Treatment_Cost]]&gt;50000,"High","Standard")</f>
        <v>Standard</v>
      </c>
    </row>
    <row r="29" spans="1:13" x14ac:dyDescent="0.35">
      <c r="A29" t="s">
        <v>60</v>
      </c>
      <c r="B29">
        <v>74</v>
      </c>
      <c r="C29" t="s">
        <v>24</v>
      </c>
      <c r="D29" s="1">
        <v>45786</v>
      </c>
      <c r="E29" s="1">
        <v>45793</v>
      </c>
      <c r="F29" t="s">
        <v>25</v>
      </c>
      <c r="G29" t="s">
        <v>33</v>
      </c>
      <c r="H29" t="s">
        <v>21</v>
      </c>
      <c r="I29">
        <v>96706</v>
      </c>
      <c r="J29" t="s">
        <v>28</v>
      </c>
      <c r="K29" t="s">
        <v>29</v>
      </c>
      <c r="L29">
        <f>Table1[[#This Row],[Discharge_Date]]-Table1[[#This Row],[Admission_Date]]</f>
        <v>7</v>
      </c>
      <c r="M29" t="str">
        <f>IF(Table1[[#This Row],[Treatment_Cost]]&gt;50000,"High","Standard")</f>
        <v>High</v>
      </c>
    </row>
    <row r="30" spans="1:13" x14ac:dyDescent="0.35">
      <c r="A30" t="s">
        <v>61</v>
      </c>
      <c r="B30">
        <v>33</v>
      </c>
      <c r="C30" t="s">
        <v>24</v>
      </c>
      <c r="D30" s="1">
        <v>45769</v>
      </c>
      <c r="E30" s="1">
        <v>45776</v>
      </c>
      <c r="F30" t="s">
        <v>36</v>
      </c>
      <c r="G30" t="s">
        <v>14</v>
      </c>
      <c r="H30" t="s">
        <v>31</v>
      </c>
      <c r="I30">
        <v>65517</v>
      </c>
      <c r="J30" t="s">
        <v>28</v>
      </c>
      <c r="K30" t="s">
        <v>17</v>
      </c>
      <c r="L30">
        <f>Table1[[#This Row],[Discharge_Date]]-Table1[[#This Row],[Admission_Date]]</f>
        <v>7</v>
      </c>
      <c r="M30" t="str">
        <f>IF(Table1[[#This Row],[Treatment_Cost]]&gt;50000,"High","Standard")</f>
        <v>High</v>
      </c>
    </row>
    <row r="31" spans="1:13" x14ac:dyDescent="0.35">
      <c r="A31" t="s">
        <v>62</v>
      </c>
      <c r="B31">
        <v>75</v>
      </c>
      <c r="C31" t="s">
        <v>24</v>
      </c>
      <c r="D31" s="1">
        <v>46000</v>
      </c>
      <c r="E31" s="1">
        <v>46004</v>
      </c>
      <c r="F31" t="s">
        <v>13</v>
      </c>
      <c r="G31" t="s">
        <v>20</v>
      </c>
      <c r="H31" t="s">
        <v>34</v>
      </c>
      <c r="I31">
        <v>45409</v>
      </c>
      <c r="J31" t="s">
        <v>28</v>
      </c>
      <c r="K31" t="s">
        <v>22</v>
      </c>
      <c r="L31">
        <f>Table1[[#This Row],[Discharge_Date]]-Table1[[#This Row],[Admission_Date]]</f>
        <v>4</v>
      </c>
      <c r="M31" t="str">
        <f>IF(Table1[[#This Row],[Treatment_Cost]]&gt;50000,"High","Standard")</f>
        <v>Standard</v>
      </c>
    </row>
    <row r="32" spans="1:13" x14ac:dyDescent="0.35">
      <c r="A32" t="s">
        <v>63</v>
      </c>
      <c r="B32">
        <v>57</v>
      </c>
      <c r="C32" t="s">
        <v>12</v>
      </c>
      <c r="D32" s="1">
        <v>45791</v>
      </c>
      <c r="E32" s="1">
        <v>45795</v>
      </c>
      <c r="F32" t="s">
        <v>13</v>
      </c>
      <c r="G32" t="s">
        <v>33</v>
      </c>
      <c r="H32" t="s">
        <v>31</v>
      </c>
      <c r="I32">
        <v>42008</v>
      </c>
      <c r="J32" t="s">
        <v>28</v>
      </c>
      <c r="K32" t="s">
        <v>17</v>
      </c>
      <c r="L32">
        <f>Table1[[#This Row],[Discharge_Date]]-Table1[[#This Row],[Admission_Date]]</f>
        <v>4</v>
      </c>
      <c r="M32" t="str">
        <f>IF(Table1[[#This Row],[Treatment_Cost]]&gt;50000,"High","Standard")</f>
        <v>Standard</v>
      </c>
    </row>
    <row r="33" spans="1:13" x14ac:dyDescent="0.35">
      <c r="A33" t="s">
        <v>64</v>
      </c>
      <c r="B33">
        <v>50</v>
      </c>
      <c r="C33" t="s">
        <v>12</v>
      </c>
      <c r="D33" s="1">
        <v>45886</v>
      </c>
      <c r="E33" s="1">
        <v>45887</v>
      </c>
      <c r="F33" t="s">
        <v>13</v>
      </c>
      <c r="G33" t="s">
        <v>26</v>
      </c>
      <c r="H33" t="s">
        <v>31</v>
      </c>
      <c r="I33">
        <v>14113</v>
      </c>
      <c r="J33" t="s">
        <v>16</v>
      </c>
      <c r="K33" t="s">
        <v>17</v>
      </c>
      <c r="L33">
        <f>Table1[[#This Row],[Discharge_Date]]-Table1[[#This Row],[Admission_Date]]</f>
        <v>1</v>
      </c>
      <c r="M33" t="str">
        <f>IF(Table1[[#This Row],[Treatment_Cost]]&gt;50000,"High","Standard")</f>
        <v>Standard</v>
      </c>
    </row>
    <row r="34" spans="1:13" x14ac:dyDescent="0.35">
      <c r="A34" t="s">
        <v>65</v>
      </c>
      <c r="B34">
        <v>55</v>
      </c>
      <c r="C34" t="s">
        <v>12</v>
      </c>
      <c r="D34" s="1">
        <v>45993</v>
      </c>
      <c r="E34" s="1">
        <v>45996</v>
      </c>
      <c r="F34" t="s">
        <v>36</v>
      </c>
      <c r="G34" t="s">
        <v>14</v>
      </c>
      <c r="H34" t="s">
        <v>31</v>
      </c>
      <c r="I34">
        <v>81496</v>
      </c>
      <c r="J34" t="s">
        <v>28</v>
      </c>
      <c r="K34" t="s">
        <v>17</v>
      </c>
      <c r="L34">
        <f>Table1[[#This Row],[Discharge_Date]]-Table1[[#This Row],[Admission_Date]]</f>
        <v>3</v>
      </c>
      <c r="M34" t="str">
        <f>IF(Table1[[#This Row],[Treatment_Cost]]&gt;50000,"High","Standard")</f>
        <v>High</v>
      </c>
    </row>
    <row r="35" spans="1:13" x14ac:dyDescent="0.35">
      <c r="A35" t="s">
        <v>66</v>
      </c>
      <c r="B35">
        <v>47</v>
      </c>
      <c r="C35" t="s">
        <v>12</v>
      </c>
      <c r="D35" s="1">
        <v>45828</v>
      </c>
      <c r="E35" s="1">
        <v>45834</v>
      </c>
      <c r="F35" t="s">
        <v>19</v>
      </c>
      <c r="G35" t="s">
        <v>40</v>
      </c>
      <c r="H35" t="s">
        <v>31</v>
      </c>
      <c r="I35">
        <v>89225</v>
      </c>
      <c r="J35" t="s">
        <v>28</v>
      </c>
      <c r="K35" t="s">
        <v>17</v>
      </c>
      <c r="L35">
        <f>Table1[[#This Row],[Discharge_Date]]-Table1[[#This Row],[Admission_Date]]</f>
        <v>6</v>
      </c>
      <c r="M35" t="str">
        <f>IF(Table1[[#This Row],[Treatment_Cost]]&gt;50000,"High","Standard")</f>
        <v>High</v>
      </c>
    </row>
    <row r="36" spans="1:13" x14ac:dyDescent="0.35">
      <c r="A36" t="s">
        <v>67</v>
      </c>
      <c r="B36">
        <v>37</v>
      </c>
      <c r="C36" t="s">
        <v>24</v>
      </c>
      <c r="D36" s="1">
        <v>45795</v>
      </c>
      <c r="E36" s="1">
        <v>45799</v>
      </c>
      <c r="F36" t="s">
        <v>36</v>
      </c>
      <c r="G36" t="s">
        <v>14</v>
      </c>
      <c r="H36" t="s">
        <v>27</v>
      </c>
      <c r="I36">
        <v>25747</v>
      </c>
      <c r="J36" t="s">
        <v>16</v>
      </c>
      <c r="K36" t="s">
        <v>22</v>
      </c>
      <c r="L36">
        <f>Table1[[#This Row],[Discharge_Date]]-Table1[[#This Row],[Admission_Date]]</f>
        <v>4</v>
      </c>
      <c r="M36" t="str">
        <f>IF(Table1[[#This Row],[Treatment_Cost]]&gt;50000,"High","Standard")</f>
        <v>Standard</v>
      </c>
    </row>
    <row r="37" spans="1:13" x14ac:dyDescent="0.35">
      <c r="A37" t="s">
        <v>68</v>
      </c>
      <c r="B37">
        <v>42</v>
      </c>
      <c r="C37" t="s">
        <v>24</v>
      </c>
      <c r="D37" s="1">
        <v>45773</v>
      </c>
      <c r="E37" s="1">
        <v>45774</v>
      </c>
      <c r="F37" t="s">
        <v>36</v>
      </c>
      <c r="G37" t="s">
        <v>26</v>
      </c>
      <c r="H37" t="s">
        <v>15</v>
      </c>
      <c r="I37">
        <v>79642</v>
      </c>
      <c r="J37" t="s">
        <v>16</v>
      </c>
      <c r="K37" t="s">
        <v>22</v>
      </c>
      <c r="L37">
        <f>Table1[[#This Row],[Discharge_Date]]-Table1[[#This Row],[Admission_Date]]</f>
        <v>1</v>
      </c>
      <c r="M37" t="str">
        <f>IF(Table1[[#This Row],[Treatment_Cost]]&gt;50000,"High","Standard")</f>
        <v>High</v>
      </c>
    </row>
    <row r="38" spans="1:13" x14ac:dyDescent="0.35">
      <c r="A38" t="s">
        <v>69</v>
      </c>
      <c r="B38">
        <v>41</v>
      </c>
      <c r="C38" t="s">
        <v>12</v>
      </c>
      <c r="D38" s="1">
        <v>46006</v>
      </c>
      <c r="E38" s="1">
        <v>46014</v>
      </c>
      <c r="F38" t="s">
        <v>19</v>
      </c>
      <c r="G38" t="s">
        <v>40</v>
      </c>
      <c r="H38" t="s">
        <v>27</v>
      </c>
      <c r="I38">
        <v>97654</v>
      </c>
      <c r="J38" t="s">
        <v>16</v>
      </c>
      <c r="K38" t="s">
        <v>29</v>
      </c>
      <c r="L38">
        <f>Table1[[#This Row],[Discharge_Date]]-Table1[[#This Row],[Admission_Date]]</f>
        <v>8</v>
      </c>
      <c r="M38" t="str">
        <f>IF(Table1[[#This Row],[Treatment_Cost]]&gt;50000,"High","Standard")</f>
        <v>High</v>
      </c>
    </row>
    <row r="39" spans="1:13" x14ac:dyDescent="0.35">
      <c r="A39" t="s">
        <v>70</v>
      </c>
      <c r="B39">
        <v>32</v>
      </c>
      <c r="C39" t="s">
        <v>24</v>
      </c>
      <c r="D39" s="1">
        <v>45718</v>
      </c>
      <c r="E39" s="1">
        <v>45725</v>
      </c>
      <c r="F39" t="s">
        <v>36</v>
      </c>
      <c r="G39" t="s">
        <v>26</v>
      </c>
      <c r="H39" t="s">
        <v>15</v>
      </c>
      <c r="I39">
        <v>74839</v>
      </c>
      <c r="J39" t="s">
        <v>28</v>
      </c>
      <c r="K39" t="s">
        <v>17</v>
      </c>
      <c r="L39">
        <f>Table1[[#This Row],[Discharge_Date]]-Table1[[#This Row],[Admission_Date]]</f>
        <v>7</v>
      </c>
      <c r="M39" t="str">
        <f>IF(Table1[[#This Row],[Treatment_Cost]]&gt;50000,"High","Standard")</f>
        <v>High</v>
      </c>
    </row>
    <row r="40" spans="1:13" x14ac:dyDescent="0.35">
      <c r="A40" t="s">
        <v>71</v>
      </c>
      <c r="B40">
        <v>71</v>
      </c>
      <c r="C40" t="s">
        <v>12</v>
      </c>
      <c r="D40" s="1">
        <v>45702</v>
      </c>
      <c r="E40" s="1">
        <v>45706</v>
      </c>
      <c r="F40" t="s">
        <v>48</v>
      </c>
      <c r="G40" t="s">
        <v>20</v>
      </c>
      <c r="H40" t="s">
        <v>27</v>
      </c>
      <c r="I40">
        <v>94701</v>
      </c>
      <c r="J40" t="s">
        <v>28</v>
      </c>
      <c r="K40" t="s">
        <v>22</v>
      </c>
      <c r="L40">
        <f>Table1[[#This Row],[Discharge_Date]]-Table1[[#This Row],[Admission_Date]]</f>
        <v>4</v>
      </c>
      <c r="M40" t="str">
        <f>IF(Table1[[#This Row],[Treatment_Cost]]&gt;50000,"High","Standard")</f>
        <v>High</v>
      </c>
    </row>
    <row r="41" spans="1:13" x14ac:dyDescent="0.35">
      <c r="A41" t="s">
        <v>72</v>
      </c>
      <c r="B41">
        <v>41</v>
      </c>
      <c r="C41" t="s">
        <v>24</v>
      </c>
      <c r="D41" s="1">
        <v>45900</v>
      </c>
      <c r="E41" s="1">
        <v>45903</v>
      </c>
      <c r="F41" t="s">
        <v>13</v>
      </c>
      <c r="G41" t="s">
        <v>33</v>
      </c>
      <c r="H41" t="s">
        <v>31</v>
      </c>
      <c r="I41">
        <v>48665</v>
      </c>
      <c r="J41" t="s">
        <v>28</v>
      </c>
      <c r="K41" t="s">
        <v>17</v>
      </c>
      <c r="L41">
        <f>Table1[[#This Row],[Discharge_Date]]-Table1[[#This Row],[Admission_Date]]</f>
        <v>3</v>
      </c>
      <c r="M41" t="str">
        <f>IF(Table1[[#This Row],[Treatment_Cost]]&gt;50000,"High","Standard")</f>
        <v>Standard</v>
      </c>
    </row>
    <row r="42" spans="1:13" x14ac:dyDescent="0.35">
      <c r="A42" t="s">
        <v>73</v>
      </c>
      <c r="B42">
        <v>21</v>
      </c>
      <c r="C42" t="s">
        <v>12</v>
      </c>
      <c r="D42" s="1">
        <v>45949</v>
      </c>
      <c r="E42" s="1">
        <v>45954</v>
      </c>
      <c r="F42" t="s">
        <v>36</v>
      </c>
      <c r="G42" t="s">
        <v>40</v>
      </c>
      <c r="H42" t="s">
        <v>27</v>
      </c>
      <c r="I42">
        <v>23165</v>
      </c>
      <c r="J42" t="s">
        <v>28</v>
      </c>
      <c r="K42" t="s">
        <v>17</v>
      </c>
      <c r="L42">
        <f>Table1[[#This Row],[Discharge_Date]]-Table1[[#This Row],[Admission_Date]]</f>
        <v>5</v>
      </c>
      <c r="M42" t="str">
        <f>IF(Table1[[#This Row],[Treatment_Cost]]&gt;50000,"High","Standard")</f>
        <v>Standard</v>
      </c>
    </row>
    <row r="43" spans="1:13" x14ac:dyDescent="0.35">
      <c r="A43" t="s">
        <v>74</v>
      </c>
      <c r="B43">
        <v>79</v>
      </c>
      <c r="C43" t="s">
        <v>12</v>
      </c>
      <c r="D43" s="1">
        <v>45992</v>
      </c>
      <c r="E43" s="1">
        <v>45998</v>
      </c>
      <c r="F43" t="s">
        <v>13</v>
      </c>
      <c r="G43" t="s">
        <v>14</v>
      </c>
      <c r="H43" t="s">
        <v>15</v>
      </c>
      <c r="I43">
        <v>16790</v>
      </c>
      <c r="J43" t="s">
        <v>28</v>
      </c>
      <c r="K43" t="s">
        <v>22</v>
      </c>
      <c r="L43">
        <f>Table1[[#This Row],[Discharge_Date]]-Table1[[#This Row],[Admission_Date]]</f>
        <v>6</v>
      </c>
      <c r="M43" t="str">
        <f>IF(Table1[[#This Row],[Treatment_Cost]]&gt;50000,"High","Standard")</f>
        <v>Standard</v>
      </c>
    </row>
    <row r="44" spans="1:13" x14ac:dyDescent="0.35">
      <c r="A44" t="s">
        <v>75</v>
      </c>
      <c r="B44">
        <v>77</v>
      </c>
      <c r="C44" t="s">
        <v>24</v>
      </c>
      <c r="D44" s="1">
        <v>45798</v>
      </c>
      <c r="E44" s="1">
        <v>45808</v>
      </c>
      <c r="F44" t="s">
        <v>36</v>
      </c>
      <c r="G44" t="s">
        <v>14</v>
      </c>
      <c r="H44" t="s">
        <v>27</v>
      </c>
      <c r="I44">
        <v>81388</v>
      </c>
      <c r="J44" t="s">
        <v>16</v>
      </c>
      <c r="K44" t="s">
        <v>22</v>
      </c>
      <c r="L44">
        <f>Table1[[#This Row],[Discharge_Date]]-Table1[[#This Row],[Admission_Date]]</f>
        <v>10</v>
      </c>
      <c r="M44" t="str">
        <f>IF(Table1[[#This Row],[Treatment_Cost]]&gt;50000,"High","Standard")</f>
        <v>High</v>
      </c>
    </row>
    <row r="45" spans="1:13" x14ac:dyDescent="0.35">
      <c r="A45" t="s">
        <v>76</v>
      </c>
      <c r="B45">
        <v>23</v>
      </c>
      <c r="C45" t="s">
        <v>24</v>
      </c>
      <c r="D45" s="1">
        <v>45970</v>
      </c>
      <c r="E45" s="1">
        <v>45973</v>
      </c>
      <c r="F45" t="s">
        <v>19</v>
      </c>
      <c r="G45" t="s">
        <v>33</v>
      </c>
      <c r="H45" t="s">
        <v>31</v>
      </c>
      <c r="I45">
        <v>79049</v>
      </c>
      <c r="J45" t="s">
        <v>28</v>
      </c>
      <c r="K45" t="s">
        <v>29</v>
      </c>
      <c r="L45">
        <f>Table1[[#This Row],[Discharge_Date]]-Table1[[#This Row],[Admission_Date]]</f>
        <v>3</v>
      </c>
      <c r="M45" t="str">
        <f>IF(Table1[[#This Row],[Treatment_Cost]]&gt;50000,"High","Standard")</f>
        <v>High</v>
      </c>
    </row>
    <row r="46" spans="1:13" x14ac:dyDescent="0.35">
      <c r="A46" t="s">
        <v>77</v>
      </c>
      <c r="B46">
        <v>26</v>
      </c>
      <c r="C46" t="s">
        <v>12</v>
      </c>
      <c r="D46" s="1">
        <v>45794</v>
      </c>
      <c r="E46" s="1">
        <v>45802</v>
      </c>
      <c r="F46" t="s">
        <v>25</v>
      </c>
      <c r="G46" t="s">
        <v>33</v>
      </c>
      <c r="H46" t="s">
        <v>31</v>
      </c>
      <c r="I46">
        <v>96695</v>
      </c>
      <c r="J46" t="s">
        <v>28</v>
      </c>
      <c r="K46" t="s">
        <v>29</v>
      </c>
      <c r="L46">
        <f>Table1[[#This Row],[Discharge_Date]]-Table1[[#This Row],[Admission_Date]]</f>
        <v>8</v>
      </c>
      <c r="M46" t="str">
        <f>IF(Table1[[#This Row],[Treatment_Cost]]&gt;50000,"High","Standard")</f>
        <v>High</v>
      </c>
    </row>
    <row r="47" spans="1:13" x14ac:dyDescent="0.35">
      <c r="A47" t="s">
        <v>78</v>
      </c>
      <c r="B47">
        <v>40</v>
      </c>
      <c r="C47" t="s">
        <v>12</v>
      </c>
      <c r="D47" s="1">
        <v>45824</v>
      </c>
      <c r="E47" s="1">
        <v>45834</v>
      </c>
      <c r="F47" t="s">
        <v>25</v>
      </c>
      <c r="G47" t="s">
        <v>33</v>
      </c>
      <c r="H47" t="s">
        <v>34</v>
      </c>
      <c r="I47">
        <v>15434</v>
      </c>
      <c r="J47" t="s">
        <v>16</v>
      </c>
      <c r="K47" t="s">
        <v>22</v>
      </c>
      <c r="L47">
        <f>Table1[[#This Row],[Discharge_Date]]-Table1[[#This Row],[Admission_Date]]</f>
        <v>10</v>
      </c>
      <c r="M47" t="str">
        <f>IF(Table1[[#This Row],[Treatment_Cost]]&gt;50000,"High","Standard")</f>
        <v>Standard</v>
      </c>
    </row>
    <row r="48" spans="1:13" x14ac:dyDescent="0.35">
      <c r="A48" t="s">
        <v>79</v>
      </c>
      <c r="B48">
        <v>49</v>
      </c>
      <c r="C48" t="s">
        <v>24</v>
      </c>
      <c r="D48" s="1">
        <v>45757</v>
      </c>
      <c r="E48" s="1">
        <v>45758</v>
      </c>
      <c r="F48" t="s">
        <v>25</v>
      </c>
      <c r="G48" t="s">
        <v>33</v>
      </c>
      <c r="H48" t="s">
        <v>15</v>
      </c>
      <c r="I48">
        <v>99291</v>
      </c>
      <c r="J48" t="s">
        <v>16</v>
      </c>
      <c r="K48" t="s">
        <v>22</v>
      </c>
      <c r="L48">
        <f>Table1[[#This Row],[Discharge_Date]]-Table1[[#This Row],[Admission_Date]]</f>
        <v>1</v>
      </c>
      <c r="M48" t="str">
        <f>IF(Table1[[#This Row],[Treatment_Cost]]&gt;50000,"High","Standard")</f>
        <v>High</v>
      </c>
    </row>
    <row r="49" spans="1:13" x14ac:dyDescent="0.35">
      <c r="A49" t="s">
        <v>80</v>
      </c>
      <c r="B49">
        <v>76</v>
      </c>
      <c r="C49" t="s">
        <v>12</v>
      </c>
      <c r="D49" s="1">
        <v>45825</v>
      </c>
      <c r="E49" s="1">
        <v>45833</v>
      </c>
      <c r="F49" t="s">
        <v>25</v>
      </c>
      <c r="G49" t="s">
        <v>40</v>
      </c>
      <c r="H49" t="s">
        <v>27</v>
      </c>
      <c r="I49">
        <v>56697</v>
      </c>
      <c r="J49" t="s">
        <v>28</v>
      </c>
      <c r="K49" t="s">
        <v>22</v>
      </c>
      <c r="L49">
        <f>Table1[[#This Row],[Discharge_Date]]-Table1[[#This Row],[Admission_Date]]</f>
        <v>8</v>
      </c>
      <c r="M49" t="str">
        <f>IF(Table1[[#This Row],[Treatment_Cost]]&gt;50000,"High","Standard")</f>
        <v>High</v>
      </c>
    </row>
    <row r="50" spans="1:13" x14ac:dyDescent="0.35">
      <c r="A50" t="s">
        <v>81</v>
      </c>
      <c r="B50">
        <v>78</v>
      </c>
      <c r="C50" t="s">
        <v>24</v>
      </c>
      <c r="D50" s="1">
        <v>45884</v>
      </c>
      <c r="E50" s="1">
        <v>45892</v>
      </c>
      <c r="F50" t="s">
        <v>36</v>
      </c>
      <c r="G50" t="s">
        <v>40</v>
      </c>
      <c r="H50" t="s">
        <v>34</v>
      </c>
      <c r="I50">
        <v>20229</v>
      </c>
      <c r="J50" t="s">
        <v>28</v>
      </c>
      <c r="K50" t="s">
        <v>17</v>
      </c>
      <c r="L50">
        <f>Table1[[#This Row],[Discharge_Date]]-Table1[[#This Row],[Admission_Date]]</f>
        <v>8</v>
      </c>
      <c r="M50" t="str">
        <f>IF(Table1[[#This Row],[Treatment_Cost]]&gt;50000,"High","Standard")</f>
        <v>Standard</v>
      </c>
    </row>
    <row r="51" spans="1:13" x14ac:dyDescent="0.35">
      <c r="A51" t="s">
        <v>82</v>
      </c>
      <c r="B51">
        <v>34</v>
      </c>
      <c r="C51" t="s">
        <v>24</v>
      </c>
      <c r="D51" s="1">
        <v>45919</v>
      </c>
      <c r="E51" s="1">
        <v>45928</v>
      </c>
      <c r="F51" t="s">
        <v>25</v>
      </c>
      <c r="G51" t="s">
        <v>14</v>
      </c>
      <c r="H51" t="s">
        <v>21</v>
      </c>
      <c r="I51">
        <v>29047</v>
      </c>
      <c r="J51" t="s">
        <v>16</v>
      </c>
      <c r="K51" t="s">
        <v>22</v>
      </c>
      <c r="L51">
        <f>Table1[[#This Row],[Discharge_Date]]-Table1[[#This Row],[Admission_Date]]</f>
        <v>9</v>
      </c>
      <c r="M51" t="str">
        <f>IF(Table1[[#This Row],[Treatment_Cost]]&gt;50000,"High","Standard")</f>
        <v>Standard</v>
      </c>
    </row>
    <row r="52" spans="1:13" x14ac:dyDescent="0.35">
      <c r="A52" t="s">
        <v>83</v>
      </c>
      <c r="B52">
        <v>50</v>
      </c>
      <c r="C52" t="s">
        <v>24</v>
      </c>
      <c r="D52" s="1">
        <v>45824</v>
      </c>
      <c r="E52" s="1">
        <v>45828</v>
      </c>
      <c r="F52" t="s">
        <v>13</v>
      </c>
      <c r="G52" t="s">
        <v>40</v>
      </c>
      <c r="H52" t="s">
        <v>27</v>
      </c>
      <c r="I52">
        <v>58516</v>
      </c>
      <c r="J52" t="s">
        <v>28</v>
      </c>
      <c r="K52" t="s">
        <v>22</v>
      </c>
      <c r="L52">
        <f>Table1[[#This Row],[Discharge_Date]]-Table1[[#This Row],[Admission_Date]]</f>
        <v>4</v>
      </c>
      <c r="M52" t="str">
        <f>IF(Table1[[#This Row],[Treatment_Cost]]&gt;50000,"High","Standard")</f>
        <v>High</v>
      </c>
    </row>
    <row r="53" spans="1:13" x14ac:dyDescent="0.35">
      <c r="A53" t="s">
        <v>84</v>
      </c>
      <c r="B53">
        <v>60</v>
      </c>
      <c r="C53" t="s">
        <v>12</v>
      </c>
      <c r="D53" s="1">
        <v>45739</v>
      </c>
      <c r="E53" s="1">
        <v>45747</v>
      </c>
      <c r="F53" t="s">
        <v>36</v>
      </c>
      <c r="G53" t="s">
        <v>14</v>
      </c>
      <c r="H53" t="s">
        <v>21</v>
      </c>
      <c r="I53">
        <v>42296</v>
      </c>
      <c r="J53" t="s">
        <v>16</v>
      </c>
      <c r="K53" t="s">
        <v>29</v>
      </c>
      <c r="L53">
        <f>Table1[[#This Row],[Discharge_Date]]-Table1[[#This Row],[Admission_Date]]</f>
        <v>8</v>
      </c>
      <c r="M53" t="str">
        <f>IF(Table1[[#This Row],[Treatment_Cost]]&gt;50000,"High","Standard")</f>
        <v>Standard</v>
      </c>
    </row>
    <row r="54" spans="1:13" x14ac:dyDescent="0.35">
      <c r="A54" t="s">
        <v>85</v>
      </c>
      <c r="B54">
        <v>73</v>
      </c>
      <c r="C54" t="s">
        <v>12</v>
      </c>
      <c r="D54" s="1">
        <v>45906</v>
      </c>
      <c r="E54" s="1">
        <v>45916</v>
      </c>
      <c r="F54" t="s">
        <v>19</v>
      </c>
      <c r="G54" t="s">
        <v>26</v>
      </c>
      <c r="H54" t="s">
        <v>27</v>
      </c>
      <c r="I54">
        <v>72942</v>
      </c>
      <c r="J54" t="s">
        <v>16</v>
      </c>
      <c r="K54" t="s">
        <v>22</v>
      </c>
      <c r="L54">
        <f>Table1[[#This Row],[Discharge_Date]]-Table1[[#This Row],[Admission_Date]]</f>
        <v>10</v>
      </c>
      <c r="M54" t="str">
        <f>IF(Table1[[#This Row],[Treatment_Cost]]&gt;50000,"High","Standard")</f>
        <v>High</v>
      </c>
    </row>
    <row r="55" spans="1:13" x14ac:dyDescent="0.35">
      <c r="A55" t="s">
        <v>86</v>
      </c>
      <c r="B55">
        <v>56</v>
      </c>
      <c r="C55" t="s">
        <v>12</v>
      </c>
      <c r="D55" s="1">
        <v>45922</v>
      </c>
      <c r="E55" s="1">
        <v>45925</v>
      </c>
      <c r="F55" t="s">
        <v>13</v>
      </c>
      <c r="G55" t="s">
        <v>33</v>
      </c>
      <c r="H55" t="s">
        <v>21</v>
      </c>
      <c r="I55">
        <v>63112</v>
      </c>
      <c r="J55" t="s">
        <v>16</v>
      </c>
      <c r="K55" t="s">
        <v>22</v>
      </c>
      <c r="L55">
        <f>Table1[[#This Row],[Discharge_Date]]-Table1[[#This Row],[Admission_Date]]</f>
        <v>3</v>
      </c>
      <c r="M55" t="str">
        <f>IF(Table1[[#This Row],[Treatment_Cost]]&gt;50000,"High","Standard")</f>
        <v>High</v>
      </c>
    </row>
    <row r="56" spans="1:13" x14ac:dyDescent="0.35">
      <c r="A56" t="s">
        <v>87</v>
      </c>
      <c r="B56">
        <v>21</v>
      </c>
      <c r="C56" t="s">
        <v>24</v>
      </c>
      <c r="D56" s="1">
        <v>45872</v>
      </c>
      <c r="E56" s="1">
        <v>45875</v>
      </c>
      <c r="F56" t="s">
        <v>48</v>
      </c>
      <c r="G56" t="s">
        <v>20</v>
      </c>
      <c r="H56" t="s">
        <v>27</v>
      </c>
      <c r="I56">
        <v>77423</v>
      </c>
      <c r="J56" t="s">
        <v>16</v>
      </c>
      <c r="K56" t="s">
        <v>29</v>
      </c>
      <c r="L56">
        <f>Table1[[#This Row],[Discharge_Date]]-Table1[[#This Row],[Admission_Date]]</f>
        <v>3</v>
      </c>
      <c r="M56" t="str">
        <f>IF(Table1[[#This Row],[Treatment_Cost]]&gt;50000,"High","Standard")</f>
        <v>High</v>
      </c>
    </row>
    <row r="57" spans="1:13" x14ac:dyDescent="0.35">
      <c r="A57" t="s">
        <v>88</v>
      </c>
      <c r="B57">
        <v>46</v>
      </c>
      <c r="C57" t="s">
        <v>12</v>
      </c>
      <c r="D57" s="1">
        <v>45876</v>
      </c>
      <c r="E57" s="1">
        <v>45885</v>
      </c>
      <c r="F57" t="s">
        <v>48</v>
      </c>
      <c r="G57" t="s">
        <v>26</v>
      </c>
      <c r="H57" t="s">
        <v>21</v>
      </c>
      <c r="I57">
        <v>23810</v>
      </c>
      <c r="J57" t="s">
        <v>28</v>
      </c>
      <c r="K57" t="s">
        <v>17</v>
      </c>
      <c r="L57">
        <f>Table1[[#This Row],[Discharge_Date]]-Table1[[#This Row],[Admission_Date]]</f>
        <v>9</v>
      </c>
      <c r="M57" t="str">
        <f>IF(Table1[[#This Row],[Treatment_Cost]]&gt;50000,"High","Standard")</f>
        <v>Standard</v>
      </c>
    </row>
    <row r="58" spans="1:13" x14ac:dyDescent="0.35">
      <c r="A58" t="s">
        <v>89</v>
      </c>
      <c r="B58">
        <v>26</v>
      </c>
      <c r="C58" t="s">
        <v>24</v>
      </c>
      <c r="D58" s="1">
        <v>45964</v>
      </c>
      <c r="E58" s="1">
        <v>45974</v>
      </c>
      <c r="F58" t="s">
        <v>48</v>
      </c>
      <c r="G58" t="s">
        <v>26</v>
      </c>
      <c r="H58" t="s">
        <v>27</v>
      </c>
      <c r="I58">
        <v>80143</v>
      </c>
      <c r="J58" t="s">
        <v>16</v>
      </c>
      <c r="K58" t="s">
        <v>17</v>
      </c>
      <c r="L58">
        <f>Table1[[#This Row],[Discharge_Date]]-Table1[[#This Row],[Admission_Date]]</f>
        <v>10</v>
      </c>
      <c r="M58" t="str">
        <f>IF(Table1[[#This Row],[Treatment_Cost]]&gt;50000,"High","Standard")</f>
        <v>High</v>
      </c>
    </row>
    <row r="59" spans="1:13" x14ac:dyDescent="0.35">
      <c r="A59" t="s">
        <v>90</v>
      </c>
      <c r="B59">
        <v>52</v>
      </c>
      <c r="C59" t="s">
        <v>24</v>
      </c>
      <c r="D59" s="1">
        <v>45799</v>
      </c>
      <c r="E59" s="1">
        <v>45805</v>
      </c>
      <c r="F59" t="s">
        <v>19</v>
      </c>
      <c r="G59" t="s">
        <v>33</v>
      </c>
      <c r="H59" t="s">
        <v>34</v>
      </c>
      <c r="I59">
        <v>23966</v>
      </c>
      <c r="J59" t="s">
        <v>16</v>
      </c>
      <c r="K59" t="s">
        <v>22</v>
      </c>
      <c r="L59">
        <f>Table1[[#This Row],[Discharge_Date]]-Table1[[#This Row],[Admission_Date]]</f>
        <v>6</v>
      </c>
      <c r="M59" t="str">
        <f>IF(Table1[[#This Row],[Treatment_Cost]]&gt;50000,"High","Standard")</f>
        <v>Standard</v>
      </c>
    </row>
    <row r="60" spans="1:13" x14ac:dyDescent="0.35">
      <c r="A60" t="s">
        <v>91</v>
      </c>
      <c r="B60">
        <v>37</v>
      </c>
      <c r="C60" t="s">
        <v>24</v>
      </c>
      <c r="D60" s="1">
        <v>45963</v>
      </c>
      <c r="E60" s="1">
        <v>45965</v>
      </c>
      <c r="F60" t="s">
        <v>19</v>
      </c>
      <c r="G60" t="s">
        <v>33</v>
      </c>
      <c r="H60" t="s">
        <v>21</v>
      </c>
      <c r="I60">
        <v>82685</v>
      </c>
      <c r="J60" t="s">
        <v>16</v>
      </c>
      <c r="K60" t="s">
        <v>29</v>
      </c>
      <c r="L60">
        <f>Table1[[#This Row],[Discharge_Date]]-Table1[[#This Row],[Admission_Date]]</f>
        <v>2</v>
      </c>
      <c r="M60" t="str">
        <f>IF(Table1[[#This Row],[Treatment_Cost]]&gt;50000,"High","Standard")</f>
        <v>High</v>
      </c>
    </row>
    <row r="61" spans="1:13" x14ac:dyDescent="0.35">
      <c r="A61" t="s">
        <v>92</v>
      </c>
      <c r="B61">
        <v>31</v>
      </c>
      <c r="C61" t="s">
        <v>12</v>
      </c>
      <c r="D61" s="1">
        <v>45664</v>
      </c>
      <c r="E61" s="1">
        <v>45665</v>
      </c>
      <c r="F61" t="s">
        <v>36</v>
      </c>
      <c r="G61" t="s">
        <v>33</v>
      </c>
      <c r="H61" t="s">
        <v>27</v>
      </c>
      <c r="I61">
        <v>90448</v>
      </c>
      <c r="J61" t="s">
        <v>28</v>
      </c>
      <c r="K61" t="s">
        <v>22</v>
      </c>
      <c r="L61">
        <f>Table1[[#This Row],[Discharge_Date]]-Table1[[#This Row],[Admission_Date]]</f>
        <v>1</v>
      </c>
      <c r="M61" t="str">
        <f>IF(Table1[[#This Row],[Treatment_Cost]]&gt;50000,"High","Standard")</f>
        <v>High</v>
      </c>
    </row>
    <row r="62" spans="1:13" x14ac:dyDescent="0.35">
      <c r="A62" t="s">
        <v>93</v>
      </c>
      <c r="B62">
        <v>23</v>
      </c>
      <c r="C62" t="s">
        <v>12</v>
      </c>
      <c r="D62" s="1">
        <v>45964</v>
      </c>
      <c r="E62" s="1">
        <v>45965</v>
      </c>
      <c r="F62" t="s">
        <v>19</v>
      </c>
      <c r="G62" t="s">
        <v>40</v>
      </c>
      <c r="H62" t="s">
        <v>31</v>
      </c>
      <c r="I62">
        <v>90652</v>
      </c>
      <c r="J62" t="s">
        <v>28</v>
      </c>
      <c r="K62" t="s">
        <v>17</v>
      </c>
      <c r="L62">
        <f>Table1[[#This Row],[Discharge_Date]]-Table1[[#This Row],[Admission_Date]]</f>
        <v>1</v>
      </c>
      <c r="M62" t="str">
        <f>IF(Table1[[#This Row],[Treatment_Cost]]&gt;50000,"High","Standard")</f>
        <v>High</v>
      </c>
    </row>
    <row r="63" spans="1:13" x14ac:dyDescent="0.35">
      <c r="A63" t="s">
        <v>94</v>
      </c>
      <c r="B63">
        <v>39</v>
      </c>
      <c r="C63" t="s">
        <v>24</v>
      </c>
      <c r="D63" s="1">
        <v>45928</v>
      </c>
      <c r="E63" s="1">
        <v>45930</v>
      </c>
      <c r="F63" t="s">
        <v>19</v>
      </c>
      <c r="G63" t="s">
        <v>26</v>
      </c>
      <c r="H63" t="s">
        <v>21</v>
      </c>
      <c r="I63">
        <v>34557</v>
      </c>
      <c r="J63" t="s">
        <v>28</v>
      </c>
      <c r="K63" t="s">
        <v>17</v>
      </c>
      <c r="L63">
        <f>Table1[[#This Row],[Discharge_Date]]-Table1[[#This Row],[Admission_Date]]</f>
        <v>2</v>
      </c>
      <c r="M63" t="str">
        <f>IF(Table1[[#This Row],[Treatment_Cost]]&gt;50000,"High","Standard")</f>
        <v>Standard</v>
      </c>
    </row>
    <row r="64" spans="1:13" x14ac:dyDescent="0.35">
      <c r="A64" t="s">
        <v>95</v>
      </c>
      <c r="B64">
        <v>76</v>
      </c>
      <c r="C64" t="s">
        <v>24</v>
      </c>
      <c r="D64" s="1">
        <v>45843</v>
      </c>
      <c r="E64" s="1">
        <v>45850</v>
      </c>
      <c r="F64" t="s">
        <v>36</v>
      </c>
      <c r="G64" t="s">
        <v>14</v>
      </c>
      <c r="H64" t="s">
        <v>27</v>
      </c>
      <c r="I64">
        <v>28333</v>
      </c>
      <c r="J64" t="s">
        <v>16</v>
      </c>
      <c r="K64" t="s">
        <v>22</v>
      </c>
      <c r="L64">
        <f>Table1[[#This Row],[Discharge_Date]]-Table1[[#This Row],[Admission_Date]]</f>
        <v>7</v>
      </c>
      <c r="M64" t="str">
        <f>IF(Table1[[#This Row],[Treatment_Cost]]&gt;50000,"High","Standard")</f>
        <v>Standard</v>
      </c>
    </row>
    <row r="65" spans="1:13" x14ac:dyDescent="0.35">
      <c r="A65" t="s">
        <v>96</v>
      </c>
      <c r="B65">
        <v>68</v>
      </c>
      <c r="C65" t="s">
        <v>24</v>
      </c>
      <c r="D65" s="1">
        <v>45966</v>
      </c>
      <c r="E65" s="1">
        <v>45972</v>
      </c>
      <c r="F65" t="s">
        <v>25</v>
      </c>
      <c r="G65" t="s">
        <v>20</v>
      </c>
      <c r="H65" t="s">
        <v>21</v>
      </c>
      <c r="I65">
        <v>22048</v>
      </c>
      <c r="J65" t="s">
        <v>28</v>
      </c>
      <c r="K65" t="s">
        <v>29</v>
      </c>
      <c r="L65">
        <f>Table1[[#This Row],[Discharge_Date]]-Table1[[#This Row],[Admission_Date]]</f>
        <v>6</v>
      </c>
      <c r="M65" t="str">
        <f>IF(Table1[[#This Row],[Treatment_Cost]]&gt;50000,"High","Standard")</f>
        <v>Standard</v>
      </c>
    </row>
    <row r="66" spans="1:13" x14ac:dyDescent="0.35">
      <c r="A66" t="s">
        <v>97</v>
      </c>
      <c r="B66">
        <v>58</v>
      </c>
      <c r="C66" t="s">
        <v>12</v>
      </c>
      <c r="D66" s="1">
        <v>45902</v>
      </c>
      <c r="E66" s="1">
        <v>45910</v>
      </c>
      <c r="F66" t="s">
        <v>25</v>
      </c>
      <c r="G66" t="s">
        <v>26</v>
      </c>
      <c r="H66" t="s">
        <v>31</v>
      </c>
      <c r="I66">
        <v>77747</v>
      </c>
      <c r="J66" t="s">
        <v>16</v>
      </c>
      <c r="K66" t="s">
        <v>22</v>
      </c>
      <c r="L66">
        <f>Table1[[#This Row],[Discharge_Date]]-Table1[[#This Row],[Admission_Date]]</f>
        <v>8</v>
      </c>
      <c r="M66" t="str">
        <f>IF(Table1[[#This Row],[Treatment_Cost]]&gt;50000,"High","Standard")</f>
        <v>High</v>
      </c>
    </row>
    <row r="67" spans="1:13" x14ac:dyDescent="0.35">
      <c r="A67" t="s">
        <v>98</v>
      </c>
      <c r="B67">
        <v>61</v>
      </c>
      <c r="C67" t="s">
        <v>12</v>
      </c>
      <c r="D67" s="1">
        <v>45678</v>
      </c>
      <c r="E67" s="1">
        <v>45682</v>
      </c>
      <c r="F67" t="s">
        <v>36</v>
      </c>
      <c r="G67" t="s">
        <v>20</v>
      </c>
      <c r="H67" t="s">
        <v>27</v>
      </c>
      <c r="I67">
        <v>41697</v>
      </c>
      <c r="J67" t="s">
        <v>16</v>
      </c>
      <c r="K67" t="s">
        <v>17</v>
      </c>
      <c r="L67">
        <f>Table1[[#This Row],[Discharge_Date]]-Table1[[#This Row],[Admission_Date]]</f>
        <v>4</v>
      </c>
      <c r="M67" t="str">
        <f>IF(Table1[[#This Row],[Treatment_Cost]]&gt;50000,"High","Standard")</f>
        <v>Standard</v>
      </c>
    </row>
    <row r="68" spans="1:13" x14ac:dyDescent="0.35">
      <c r="A68" t="s">
        <v>99</v>
      </c>
      <c r="B68">
        <v>52</v>
      </c>
      <c r="C68" t="s">
        <v>12</v>
      </c>
      <c r="D68" s="1">
        <v>45867</v>
      </c>
      <c r="E68" s="1">
        <v>45870</v>
      </c>
      <c r="F68" t="s">
        <v>19</v>
      </c>
      <c r="G68" t="s">
        <v>40</v>
      </c>
      <c r="H68" t="s">
        <v>21</v>
      </c>
      <c r="I68">
        <v>20477</v>
      </c>
      <c r="J68" t="s">
        <v>16</v>
      </c>
      <c r="K68" t="s">
        <v>17</v>
      </c>
      <c r="L68">
        <f>Table1[[#This Row],[Discharge_Date]]-Table1[[#This Row],[Admission_Date]]</f>
        <v>3</v>
      </c>
      <c r="M68" t="str">
        <f>IF(Table1[[#This Row],[Treatment_Cost]]&gt;50000,"High","Standard")</f>
        <v>Standard</v>
      </c>
    </row>
    <row r="69" spans="1:13" x14ac:dyDescent="0.35">
      <c r="A69" t="s">
        <v>100</v>
      </c>
      <c r="B69">
        <v>35</v>
      </c>
      <c r="C69" t="s">
        <v>24</v>
      </c>
      <c r="D69" s="1">
        <v>46003</v>
      </c>
      <c r="E69" s="1">
        <v>46009</v>
      </c>
      <c r="F69" t="s">
        <v>25</v>
      </c>
      <c r="G69" t="s">
        <v>40</v>
      </c>
      <c r="H69" t="s">
        <v>21</v>
      </c>
      <c r="I69">
        <v>93862</v>
      </c>
      <c r="J69" t="s">
        <v>28</v>
      </c>
      <c r="K69" t="s">
        <v>22</v>
      </c>
      <c r="L69">
        <f>Table1[[#This Row],[Discharge_Date]]-Table1[[#This Row],[Admission_Date]]</f>
        <v>6</v>
      </c>
      <c r="M69" t="str">
        <f>IF(Table1[[#This Row],[Treatment_Cost]]&gt;50000,"High","Standard")</f>
        <v>High</v>
      </c>
    </row>
    <row r="70" spans="1:13" x14ac:dyDescent="0.35">
      <c r="A70" t="s">
        <v>101</v>
      </c>
      <c r="B70">
        <v>78</v>
      </c>
      <c r="C70" t="s">
        <v>24</v>
      </c>
      <c r="D70" s="1">
        <v>45801</v>
      </c>
      <c r="E70" s="1">
        <v>45811</v>
      </c>
      <c r="F70" t="s">
        <v>19</v>
      </c>
      <c r="G70" t="s">
        <v>33</v>
      </c>
      <c r="H70" t="s">
        <v>21</v>
      </c>
      <c r="I70">
        <v>43431</v>
      </c>
      <c r="J70" t="s">
        <v>28</v>
      </c>
      <c r="K70" t="s">
        <v>29</v>
      </c>
      <c r="L70">
        <f>Table1[[#This Row],[Discharge_Date]]-Table1[[#This Row],[Admission_Date]]</f>
        <v>10</v>
      </c>
      <c r="M70" t="str">
        <f>IF(Table1[[#This Row],[Treatment_Cost]]&gt;50000,"High","Standard")</f>
        <v>Standard</v>
      </c>
    </row>
    <row r="71" spans="1:13" x14ac:dyDescent="0.35">
      <c r="A71" t="s">
        <v>102</v>
      </c>
      <c r="B71">
        <v>43</v>
      </c>
      <c r="C71" t="s">
        <v>24</v>
      </c>
      <c r="D71" s="1">
        <v>45911</v>
      </c>
      <c r="E71" s="1">
        <v>45913</v>
      </c>
      <c r="F71" t="s">
        <v>36</v>
      </c>
      <c r="G71" t="s">
        <v>33</v>
      </c>
      <c r="H71" t="s">
        <v>34</v>
      </c>
      <c r="I71">
        <v>40241</v>
      </c>
      <c r="J71" t="s">
        <v>28</v>
      </c>
      <c r="K71" t="s">
        <v>17</v>
      </c>
      <c r="L71">
        <f>Table1[[#This Row],[Discharge_Date]]-Table1[[#This Row],[Admission_Date]]</f>
        <v>2</v>
      </c>
      <c r="M71" t="str">
        <f>IF(Table1[[#This Row],[Treatment_Cost]]&gt;50000,"High","Standard")</f>
        <v>Standard</v>
      </c>
    </row>
    <row r="72" spans="1:13" x14ac:dyDescent="0.35">
      <c r="A72" t="s">
        <v>103</v>
      </c>
      <c r="B72">
        <v>21</v>
      </c>
      <c r="C72" t="s">
        <v>24</v>
      </c>
      <c r="D72" s="1">
        <v>45736</v>
      </c>
      <c r="E72" s="1">
        <v>45740</v>
      </c>
      <c r="F72" t="s">
        <v>25</v>
      </c>
      <c r="G72" t="s">
        <v>14</v>
      </c>
      <c r="H72" t="s">
        <v>21</v>
      </c>
      <c r="I72">
        <v>26368</v>
      </c>
      <c r="J72" t="s">
        <v>28</v>
      </c>
      <c r="K72" t="s">
        <v>17</v>
      </c>
      <c r="L72">
        <f>Table1[[#This Row],[Discharge_Date]]-Table1[[#This Row],[Admission_Date]]</f>
        <v>4</v>
      </c>
      <c r="M72" t="str">
        <f>IF(Table1[[#This Row],[Treatment_Cost]]&gt;50000,"High","Standard")</f>
        <v>Standard</v>
      </c>
    </row>
    <row r="73" spans="1:13" x14ac:dyDescent="0.35">
      <c r="A73" t="s">
        <v>104</v>
      </c>
      <c r="B73">
        <v>20</v>
      </c>
      <c r="C73" t="s">
        <v>24</v>
      </c>
      <c r="D73" s="1">
        <v>45748</v>
      </c>
      <c r="E73" s="1">
        <v>45749</v>
      </c>
      <c r="F73" t="s">
        <v>25</v>
      </c>
      <c r="G73" t="s">
        <v>20</v>
      </c>
      <c r="H73" t="s">
        <v>27</v>
      </c>
      <c r="I73">
        <v>39075</v>
      </c>
      <c r="J73" t="s">
        <v>28</v>
      </c>
      <c r="K73" t="s">
        <v>29</v>
      </c>
      <c r="L73">
        <f>Table1[[#This Row],[Discharge_Date]]-Table1[[#This Row],[Admission_Date]]</f>
        <v>1</v>
      </c>
      <c r="M73" t="str">
        <f>IF(Table1[[#This Row],[Treatment_Cost]]&gt;50000,"High","Standard")</f>
        <v>Standard</v>
      </c>
    </row>
    <row r="74" spans="1:13" x14ac:dyDescent="0.35">
      <c r="A74" t="s">
        <v>105</v>
      </c>
      <c r="B74">
        <v>71</v>
      </c>
      <c r="C74" t="s">
        <v>12</v>
      </c>
      <c r="D74" s="1">
        <v>45896</v>
      </c>
      <c r="E74" s="1">
        <v>45905</v>
      </c>
      <c r="F74" t="s">
        <v>48</v>
      </c>
      <c r="G74" t="s">
        <v>40</v>
      </c>
      <c r="H74" t="s">
        <v>15</v>
      </c>
      <c r="I74">
        <v>65225</v>
      </c>
      <c r="J74" t="s">
        <v>16</v>
      </c>
      <c r="K74" t="s">
        <v>29</v>
      </c>
      <c r="L74">
        <f>Table1[[#This Row],[Discharge_Date]]-Table1[[#This Row],[Admission_Date]]</f>
        <v>9</v>
      </c>
      <c r="M74" t="str">
        <f>IF(Table1[[#This Row],[Treatment_Cost]]&gt;50000,"High","Standard")</f>
        <v>High</v>
      </c>
    </row>
    <row r="75" spans="1:13" x14ac:dyDescent="0.35">
      <c r="A75" t="s">
        <v>106</v>
      </c>
      <c r="B75">
        <v>69</v>
      </c>
      <c r="C75" t="s">
        <v>24</v>
      </c>
      <c r="D75" s="1">
        <v>45897</v>
      </c>
      <c r="E75" s="1">
        <v>45905</v>
      </c>
      <c r="F75" t="s">
        <v>48</v>
      </c>
      <c r="G75" t="s">
        <v>14</v>
      </c>
      <c r="H75" t="s">
        <v>27</v>
      </c>
      <c r="I75">
        <v>26344</v>
      </c>
      <c r="J75" t="s">
        <v>28</v>
      </c>
      <c r="K75" t="s">
        <v>17</v>
      </c>
      <c r="L75">
        <f>Table1[[#This Row],[Discharge_Date]]-Table1[[#This Row],[Admission_Date]]</f>
        <v>8</v>
      </c>
      <c r="M75" t="str">
        <f>IF(Table1[[#This Row],[Treatment_Cost]]&gt;50000,"High","Standard")</f>
        <v>Standard</v>
      </c>
    </row>
    <row r="76" spans="1:13" x14ac:dyDescent="0.35">
      <c r="A76" t="s">
        <v>107</v>
      </c>
      <c r="B76">
        <v>55</v>
      </c>
      <c r="C76" t="s">
        <v>24</v>
      </c>
      <c r="D76" s="1">
        <v>45670</v>
      </c>
      <c r="E76" s="1">
        <v>45674</v>
      </c>
      <c r="F76" t="s">
        <v>19</v>
      </c>
      <c r="G76" t="s">
        <v>14</v>
      </c>
      <c r="H76" t="s">
        <v>21</v>
      </c>
      <c r="I76">
        <v>66269</v>
      </c>
      <c r="J76" t="s">
        <v>28</v>
      </c>
      <c r="K76" t="s">
        <v>29</v>
      </c>
      <c r="L76">
        <f>Table1[[#This Row],[Discharge_Date]]-Table1[[#This Row],[Admission_Date]]</f>
        <v>4</v>
      </c>
      <c r="M76" t="str">
        <f>IF(Table1[[#This Row],[Treatment_Cost]]&gt;50000,"High","Standard")</f>
        <v>High</v>
      </c>
    </row>
    <row r="77" spans="1:13" x14ac:dyDescent="0.35">
      <c r="A77" t="s">
        <v>108</v>
      </c>
      <c r="B77">
        <v>37</v>
      </c>
      <c r="C77" t="s">
        <v>12</v>
      </c>
      <c r="D77" s="1">
        <v>45933</v>
      </c>
      <c r="E77" s="1">
        <v>45935</v>
      </c>
      <c r="F77" t="s">
        <v>13</v>
      </c>
      <c r="G77" t="s">
        <v>26</v>
      </c>
      <c r="H77" t="s">
        <v>15</v>
      </c>
      <c r="I77">
        <v>58852</v>
      </c>
      <c r="J77" t="s">
        <v>16</v>
      </c>
      <c r="K77" t="s">
        <v>29</v>
      </c>
      <c r="L77">
        <f>Table1[[#This Row],[Discharge_Date]]-Table1[[#This Row],[Admission_Date]]</f>
        <v>2</v>
      </c>
      <c r="M77" t="str">
        <f>IF(Table1[[#This Row],[Treatment_Cost]]&gt;50000,"High","Standard")</f>
        <v>High</v>
      </c>
    </row>
    <row r="78" spans="1:13" x14ac:dyDescent="0.35">
      <c r="A78" t="s">
        <v>109</v>
      </c>
      <c r="B78">
        <v>67</v>
      </c>
      <c r="C78" t="s">
        <v>12</v>
      </c>
      <c r="D78" s="1">
        <v>45997</v>
      </c>
      <c r="E78" s="1">
        <v>45998</v>
      </c>
      <c r="F78" t="s">
        <v>19</v>
      </c>
      <c r="G78" t="s">
        <v>20</v>
      </c>
      <c r="H78" t="s">
        <v>34</v>
      </c>
      <c r="I78">
        <v>85769</v>
      </c>
      <c r="J78" t="s">
        <v>16</v>
      </c>
      <c r="K78" t="s">
        <v>22</v>
      </c>
      <c r="L78">
        <f>Table1[[#This Row],[Discharge_Date]]-Table1[[#This Row],[Admission_Date]]</f>
        <v>1</v>
      </c>
      <c r="M78" t="str">
        <f>IF(Table1[[#This Row],[Treatment_Cost]]&gt;50000,"High","Standard")</f>
        <v>High</v>
      </c>
    </row>
    <row r="79" spans="1:13" x14ac:dyDescent="0.35">
      <c r="A79" t="s">
        <v>110</v>
      </c>
      <c r="B79">
        <v>65</v>
      </c>
      <c r="C79" t="s">
        <v>24</v>
      </c>
      <c r="D79" s="1">
        <v>45720</v>
      </c>
      <c r="E79" s="1">
        <v>45726</v>
      </c>
      <c r="F79" t="s">
        <v>13</v>
      </c>
      <c r="G79" t="s">
        <v>40</v>
      </c>
      <c r="H79" t="s">
        <v>15</v>
      </c>
      <c r="I79">
        <v>9482</v>
      </c>
      <c r="J79" t="s">
        <v>28</v>
      </c>
      <c r="K79" t="s">
        <v>22</v>
      </c>
      <c r="L79">
        <f>Table1[[#This Row],[Discharge_Date]]-Table1[[#This Row],[Admission_Date]]</f>
        <v>6</v>
      </c>
      <c r="M79" t="str">
        <f>IF(Table1[[#This Row],[Treatment_Cost]]&gt;50000,"High","Standard")</f>
        <v>Standard</v>
      </c>
    </row>
    <row r="80" spans="1:13" x14ac:dyDescent="0.35">
      <c r="A80" t="s">
        <v>111</v>
      </c>
      <c r="B80">
        <v>20</v>
      </c>
      <c r="C80" t="s">
        <v>12</v>
      </c>
      <c r="D80" s="1">
        <v>45730</v>
      </c>
      <c r="E80" s="1">
        <v>45732</v>
      </c>
      <c r="F80" t="s">
        <v>25</v>
      </c>
      <c r="G80" t="s">
        <v>26</v>
      </c>
      <c r="H80" t="s">
        <v>15</v>
      </c>
      <c r="I80">
        <v>9333</v>
      </c>
      <c r="J80" t="s">
        <v>16</v>
      </c>
      <c r="K80" t="s">
        <v>22</v>
      </c>
      <c r="L80">
        <f>Table1[[#This Row],[Discharge_Date]]-Table1[[#This Row],[Admission_Date]]</f>
        <v>2</v>
      </c>
      <c r="M80" t="str">
        <f>IF(Table1[[#This Row],[Treatment_Cost]]&gt;50000,"High","Standard")</f>
        <v>Standard</v>
      </c>
    </row>
    <row r="81" spans="1:13" x14ac:dyDescent="0.35">
      <c r="A81" t="s">
        <v>112</v>
      </c>
      <c r="B81">
        <v>53</v>
      </c>
      <c r="C81" t="s">
        <v>24</v>
      </c>
      <c r="D81" s="1">
        <v>45895</v>
      </c>
      <c r="E81" s="1">
        <v>45904</v>
      </c>
      <c r="F81" t="s">
        <v>13</v>
      </c>
      <c r="G81" t="s">
        <v>14</v>
      </c>
      <c r="H81" t="s">
        <v>31</v>
      </c>
      <c r="I81">
        <v>58809</v>
      </c>
      <c r="J81" t="s">
        <v>28</v>
      </c>
      <c r="K81" t="s">
        <v>22</v>
      </c>
      <c r="L81">
        <f>Table1[[#This Row],[Discharge_Date]]-Table1[[#This Row],[Admission_Date]]</f>
        <v>9</v>
      </c>
      <c r="M81" t="str">
        <f>IF(Table1[[#This Row],[Treatment_Cost]]&gt;50000,"High","Standard")</f>
        <v>High</v>
      </c>
    </row>
    <row r="82" spans="1:13" x14ac:dyDescent="0.35">
      <c r="A82" t="s">
        <v>113</v>
      </c>
      <c r="B82">
        <v>71</v>
      </c>
      <c r="C82" t="s">
        <v>24</v>
      </c>
      <c r="D82" s="1">
        <v>45853</v>
      </c>
      <c r="E82" s="1">
        <v>45862</v>
      </c>
      <c r="F82" t="s">
        <v>19</v>
      </c>
      <c r="G82" t="s">
        <v>33</v>
      </c>
      <c r="H82" t="s">
        <v>31</v>
      </c>
      <c r="I82">
        <v>21747</v>
      </c>
      <c r="J82" t="s">
        <v>28</v>
      </c>
      <c r="K82" t="s">
        <v>17</v>
      </c>
      <c r="L82">
        <f>Table1[[#This Row],[Discharge_Date]]-Table1[[#This Row],[Admission_Date]]</f>
        <v>9</v>
      </c>
      <c r="M82" t="str">
        <f>IF(Table1[[#This Row],[Treatment_Cost]]&gt;50000,"High","Standard")</f>
        <v>Standard</v>
      </c>
    </row>
    <row r="83" spans="1:13" x14ac:dyDescent="0.35">
      <c r="A83" t="s">
        <v>114</v>
      </c>
      <c r="B83">
        <v>41</v>
      </c>
      <c r="C83" t="s">
        <v>24</v>
      </c>
      <c r="D83" s="1">
        <v>45748</v>
      </c>
      <c r="E83" s="1">
        <v>45756</v>
      </c>
      <c r="F83" t="s">
        <v>36</v>
      </c>
      <c r="G83" t="s">
        <v>26</v>
      </c>
      <c r="H83" t="s">
        <v>31</v>
      </c>
      <c r="I83">
        <v>62048</v>
      </c>
      <c r="J83" t="s">
        <v>28</v>
      </c>
      <c r="K83" t="s">
        <v>29</v>
      </c>
      <c r="L83">
        <f>Table1[[#This Row],[Discharge_Date]]-Table1[[#This Row],[Admission_Date]]</f>
        <v>8</v>
      </c>
      <c r="M83" t="str">
        <f>IF(Table1[[#This Row],[Treatment_Cost]]&gt;50000,"High","Standard")</f>
        <v>High</v>
      </c>
    </row>
    <row r="84" spans="1:13" x14ac:dyDescent="0.35">
      <c r="A84" t="s">
        <v>115</v>
      </c>
      <c r="B84">
        <v>75</v>
      </c>
      <c r="C84" t="s">
        <v>24</v>
      </c>
      <c r="D84" s="1">
        <v>45876</v>
      </c>
      <c r="E84" s="1">
        <v>45883</v>
      </c>
      <c r="F84" t="s">
        <v>36</v>
      </c>
      <c r="G84" t="s">
        <v>26</v>
      </c>
      <c r="H84" t="s">
        <v>31</v>
      </c>
      <c r="I84">
        <v>72482</v>
      </c>
      <c r="J84" t="s">
        <v>16</v>
      </c>
      <c r="K84" t="s">
        <v>29</v>
      </c>
      <c r="L84">
        <f>Table1[[#This Row],[Discharge_Date]]-Table1[[#This Row],[Admission_Date]]</f>
        <v>7</v>
      </c>
      <c r="M84" t="str">
        <f>IF(Table1[[#This Row],[Treatment_Cost]]&gt;50000,"High","Standard")</f>
        <v>High</v>
      </c>
    </row>
    <row r="85" spans="1:13" x14ac:dyDescent="0.35">
      <c r="A85" t="s">
        <v>116</v>
      </c>
      <c r="B85">
        <v>60</v>
      </c>
      <c r="C85" t="s">
        <v>12</v>
      </c>
      <c r="D85" s="1">
        <v>45726</v>
      </c>
      <c r="E85" s="1">
        <v>45736</v>
      </c>
      <c r="F85" t="s">
        <v>25</v>
      </c>
      <c r="G85" t="s">
        <v>26</v>
      </c>
      <c r="H85" t="s">
        <v>15</v>
      </c>
      <c r="I85">
        <v>89285</v>
      </c>
      <c r="J85" t="s">
        <v>28</v>
      </c>
      <c r="K85" t="s">
        <v>29</v>
      </c>
      <c r="L85">
        <f>Table1[[#This Row],[Discharge_Date]]-Table1[[#This Row],[Admission_Date]]</f>
        <v>10</v>
      </c>
      <c r="M85" t="str">
        <f>IF(Table1[[#This Row],[Treatment_Cost]]&gt;50000,"High","Standard")</f>
        <v>High</v>
      </c>
    </row>
    <row r="86" spans="1:13" x14ac:dyDescent="0.35">
      <c r="A86" t="s">
        <v>117</v>
      </c>
      <c r="B86">
        <v>53</v>
      </c>
      <c r="C86" t="s">
        <v>24</v>
      </c>
      <c r="D86" s="1">
        <v>45992</v>
      </c>
      <c r="E86" s="1">
        <v>46001</v>
      </c>
      <c r="F86" t="s">
        <v>48</v>
      </c>
      <c r="G86" t="s">
        <v>40</v>
      </c>
      <c r="H86" t="s">
        <v>27</v>
      </c>
      <c r="I86">
        <v>53984</v>
      </c>
      <c r="J86" t="s">
        <v>28</v>
      </c>
      <c r="K86" t="s">
        <v>17</v>
      </c>
      <c r="L86">
        <f>Table1[[#This Row],[Discharge_Date]]-Table1[[#This Row],[Admission_Date]]</f>
        <v>9</v>
      </c>
      <c r="M86" t="str">
        <f>IF(Table1[[#This Row],[Treatment_Cost]]&gt;50000,"High","Standard")</f>
        <v>High</v>
      </c>
    </row>
    <row r="87" spans="1:13" x14ac:dyDescent="0.35">
      <c r="A87" t="s">
        <v>118</v>
      </c>
      <c r="B87">
        <v>64</v>
      </c>
      <c r="C87" t="s">
        <v>24</v>
      </c>
      <c r="D87" s="1">
        <v>45970</v>
      </c>
      <c r="E87" s="1">
        <v>45980</v>
      </c>
      <c r="F87" t="s">
        <v>25</v>
      </c>
      <c r="G87" t="s">
        <v>26</v>
      </c>
      <c r="H87" t="s">
        <v>27</v>
      </c>
      <c r="I87">
        <v>27017</v>
      </c>
      <c r="J87" t="s">
        <v>16</v>
      </c>
      <c r="K87" t="s">
        <v>29</v>
      </c>
      <c r="L87">
        <f>Table1[[#This Row],[Discharge_Date]]-Table1[[#This Row],[Admission_Date]]</f>
        <v>10</v>
      </c>
      <c r="M87" t="str">
        <f>IF(Table1[[#This Row],[Treatment_Cost]]&gt;50000,"High","Standard")</f>
        <v>Standard</v>
      </c>
    </row>
    <row r="88" spans="1:13" x14ac:dyDescent="0.35">
      <c r="A88" t="s">
        <v>119</v>
      </c>
      <c r="B88">
        <v>64</v>
      </c>
      <c r="C88" t="s">
        <v>12</v>
      </c>
      <c r="D88" s="1">
        <v>45744</v>
      </c>
      <c r="E88" s="1">
        <v>45753</v>
      </c>
      <c r="F88" t="s">
        <v>36</v>
      </c>
      <c r="G88" t="s">
        <v>40</v>
      </c>
      <c r="H88" t="s">
        <v>15</v>
      </c>
      <c r="I88">
        <v>8591</v>
      </c>
      <c r="J88" t="s">
        <v>28</v>
      </c>
      <c r="K88" t="s">
        <v>29</v>
      </c>
      <c r="L88">
        <f>Table1[[#This Row],[Discharge_Date]]-Table1[[#This Row],[Admission_Date]]</f>
        <v>9</v>
      </c>
      <c r="M88" t="str">
        <f>IF(Table1[[#This Row],[Treatment_Cost]]&gt;50000,"High","Standard")</f>
        <v>Standard</v>
      </c>
    </row>
    <row r="89" spans="1:13" x14ac:dyDescent="0.35">
      <c r="A89" t="s">
        <v>120</v>
      </c>
      <c r="B89">
        <v>36</v>
      </c>
      <c r="C89" t="s">
        <v>24</v>
      </c>
      <c r="D89" s="1">
        <v>45686</v>
      </c>
      <c r="E89" s="1">
        <v>45695</v>
      </c>
      <c r="F89" t="s">
        <v>13</v>
      </c>
      <c r="G89" t="s">
        <v>20</v>
      </c>
      <c r="H89" t="s">
        <v>21</v>
      </c>
      <c r="I89">
        <v>77463</v>
      </c>
      <c r="J89" t="s">
        <v>16</v>
      </c>
      <c r="K89" t="s">
        <v>17</v>
      </c>
      <c r="L89">
        <f>Table1[[#This Row],[Discharge_Date]]-Table1[[#This Row],[Admission_Date]]</f>
        <v>9</v>
      </c>
      <c r="M89" t="str">
        <f>IF(Table1[[#This Row],[Treatment_Cost]]&gt;50000,"High","Standard")</f>
        <v>High</v>
      </c>
    </row>
    <row r="90" spans="1:13" x14ac:dyDescent="0.35">
      <c r="A90" t="s">
        <v>121</v>
      </c>
      <c r="B90">
        <v>61</v>
      </c>
      <c r="C90" t="s">
        <v>12</v>
      </c>
      <c r="D90" s="1">
        <v>45999</v>
      </c>
      <c r="E90" s="1">
        <v>46004</v>
      </c>
      <c r="F90" t="s">
        <v>36</v>
      </c>
      <c r="G90" t="s">
        <v>14</v>
      </c>
      <c r="H90" t="s">
        <v>27</v>
      </c>
      <c r="I90">
        <v>15053</v>
      </c>
      <c r="J90" t="s">
        <v>28</v>
      </c>
      <c r="K90" t="s">
        <v>29</v>
      </c>
      <c r="L90">
        <f>Table1[[#This Row],[Discharge_Date]]-Table1[[#This Row],[Admission_Date]]</f>
        <v>5</v>
      </c>
      <c r="M90" t="str">
        <f>IF(Table1[[#This Row],[Treatment_Cost]]&gt;50000,"High","Standard")</f>
        <v>Standard</v>
      </c>
    </row>
    <row r="91" spans="1:13" x14ac:dyDescent="0.35">
      <c r="A91" t="s">
        <v>122</v>
      </c>
      <c r="B91">
        <v>33</v>
      </c>
      <c r="C91" t="s">
        <v>24</v>
      </c>
      <c r="D91" s="1">
        <v>45898</v>
      </c>
      <c r="E91" s="1">
        <v>45900</v>
      </c>
      <c r="F91" t="s">
        <v>36</v>
      </c>
      <c r="G91" t="s">
        <v>33</v>
      </c>
      <c r="H91" t="s">
        <v>21</v>
      </c>
      <c r="I91">
        <v>39457</v>
      </c>
      <c r="J91" t="s">
        <v>16</v>
      </c>
      <c r="K91" t="s">
        <v>29</v>
      </c>
      <c r="L91">
        <f>Table1[[#This Row],[Discharge_Date]]-Table1[[#This Row],[Admission_Date]]</f>
        <v>2</v>
      </c>
      <c r="M91" t="str">
        <f>IF(Table1[[#This Row],[Treatment_Cost]]&gt;50000,"High","Standard")</f>
        <v>Standard</v>
      </c>
    </row>
    <row r="92" spans="1:13" x14ac:dyDescent="0.35">
      <c r="A92" t="s">
        <v>123</v>
      </c>
      <c r="B92">
        <v>47</v>
      </c>
      <c r="C92" t="s">
        <v>12</v>
      </c>
      <c r="D92" s="1">
        <v>45723</v>
      </c>
      <c r="E92" s="1">
        <v>45733</v>
      </c>
      <c r="F92" t="s">
        <v>25</v>
      </c>
      <c r="G92" t="s">
        <v>26</v>
      </c>
      <c r="H92" t="s">
        <v>34</v>
      </c>
      <c r="I92">
        <v>53255</v>
      </c>
      <c r="J92" t="s">
        <v>16</v>
      </c>
      <c r="K92" t="s">
        <v>22</v>
      </c>
      <c r="L92">
        <f>Table1[[#This Row],[Discharge_Date]]-Table1[[#This Row],[Admission_Date]]</f>
        <v>10</v>
      </c>
      <c r="M92" t="str">
        <f>IF(Table1[[#This Row],[Treatment_Cost]]&gt;50000,"High","Standard")</f>
        <v>High</v>
      </c>
    </row>
    <row r="93" spans="1:13" x14ac:dyDescent="0.35">
      <c r="A93" t="s">
        <v>124</v>
      </c>
      <c r="B93">
        <v>63</v>
      </c>
      <c r="C93" t="s">
        <v>12</v>
      </c>
      <c r="D93" s="1">
        <v>45800</v>
      </c>
      <c r="E93" s="1">
        <v>45807</v>
      </c>
      <c r="F93" t="s">
        <v>13</v>
      </c>
      <c r="G93" t="s">
        <v>40</v>
      </c>
      <c r="H93" t="s">
        <v>34</v>
      </c>
      <c r="I93">
        <v>43969</v>
      </c>
      <c r="J93" t="s">
        <v>28</v>
      </c>
      <c r="K93" t="s">
        <v>29</v>
      </c>
      <c r="L93">
        <f>Table1[[#This Row],[Discharge_Date]]-Table1[[#This Row],[Admission_Date]]</f>
        <v>7</v>
      </c>
      <c r="M93" t="str">
        <f>IF(Table1[[#This Row],[Treatment_Cost]]&gt;50000,"High","Standard")</f>
        <v>Standard</v>
      </c>
    </row>
    <row r="94" spans="1:13" x14ac:dyDescent="0.35">
      <c r="A94" t="s">
        <v>125</v>
      </c>
      <c r="B94">
        <v>23</v>
      </c>
      <c r="C94" t="s">
        <v>12</v>
      </c>
      <c r="D94" s="1">
        <v>45663</v>
      </c>
      <c r="E94" s="1">
        <v>45672</v>
      </c>
      <c r="F94" t="s">
        <v>25</v>
      </c>
      <c r="G94" t="s">
        <v>26</v>
      </c>
      <c r="H94" t="s">
        <v>27</v>
      </c>
      <c r="I94">
        <v>97834</v>
      </c>
      <c r="J94" t="s">
        <v>28</v>
      </c>
      <c r="K94" t="s">
        <v>22</v>
      </c>
      <c r="L94">
        <f>Table1[[#This Row],[Discharge_Date]]-Table1[[#This Row],[Admission_Date]]</f>
        <v>9</v>
      </c>
      <c r="M94" t="str">
        <f>IF(Table1[[#This Row],[Treatment_Cost]]&gt;50000,"High","Standard")</f>
        <v>High</v>
      </c>
    </row>
    <row r="95" spans="1:13" x14ac:dyDescent="0.35">
      <c r="A95" t="s">
        <v>126</v>
      </c>
      <c r="B95">
        <v>31</v>
      </c>
      <c r="C95" t="s">
        <v>12</v>
      </c>
      <c r="D95" s="1">
        <v>45805</v>
      </c>
      <c r="E95" s="1">
        <v>45813</v>
      </c>
      <c r="F95" t="s">
        <v>25</v>
      </c>
      <c r="G95" t="s">
        <v>33</v>
      </c>
      <c r="H95" t="s">
        <v>31</v>
      </c>
      <c r="I95">
        <v>36970</v>
      </c>
      <c r="J95" t="s">
        <v>16</v>
      </c>
      <c r="K95" t="s">
        <v>22</v>
      </c>
      <c r="L95">
        <f>Table1[[#This Row],[Discharge_Date]]-Table1[[#This Row],[Admission_Date]]</f>
        <v>8</v>
      </c>
      <c r="M95" t="str">
        <f>IF(Table1[[#This Row],[Treatment_Cost]]&gt;50000,"High","Standard")</f>
        <v>Standard</v>
      </c>
    </row>
    <row r="96" spans="1:13" x14ac:dyDescent="0.35">
      <c r="A96" t="s">
        <v>127</v>
      </c>
      <c r="B96">
        <v>57</v>
      </c>
      <c r="C96" t="s">
        <v>24</v>
      </c>
      <c r="D96" s="1">
        <v>45929</v>
      </c>
      <c r="E96" s="1">
        <v>45930</v>
      </c>
      <c r="F96" t="s">
        <v>19</v>
      </c>
      <c r="G96" t="s">
        <v>14</v>
      </c>
      <c r="H96" t="s">
        <v>27</v>
      </c>
      <c r="I96">
        <v>48656</v>
      </c>
      <c r="J96" t="s">
        <v>16</v>
      </c>
      <c r="K96" t="s">
        <v>29</v>
      </c>
      <c r="L96">
        <f>Table1[[#This Row],[Discharge_Date]]-Table1[[#This Row],[Admission_Date]]</f>
        <v>1</v>
      </c>
      <c r="M96" t="str">
        <f>IF(Table1[[#This Row],[Treatment_Cost]]&gt;50000,"High","Standard")</f>
        <v>Standard</v>
      </c>
    </row>
    <row r="97" spans="1:13" x14ac:dyDescent="0.35">
      <c r="A97" t="s">
        <v>128</v>
      </c>
      <c r="B97">
        <v>61</v>
      </c>
      <c r="C97" t="s">
        <v>24</v>
      </c>
      <c r="D97" s="1">
        <v>45804</v>
      </c>
      <c r="E97" s="1">
        <v>45809</v>
      </c>
      <c r="F97" t="s">
        <v>25</v>
      </c>
      <c r="G97" t="s">
        <v>26</v>
      </c>
      <c r="H97" t="s">
        <v>21</v>
      </c>
      <c r="I97">
        <v>35538</v>
      </c>
      <c r="J97" t="s">
        <v>16</v>
      </c>
      <c r="K97" t="s">
        <v>29</v>
      </c>
      <c r="L97">
        <f>Table1[[#This Row],[Discharge_Date]]-Table1[[#This Row],[Admission_Date]]</f>
        <v>5</v>
      </c>
      <c r="M97" t="str">
        <f>IF(Table1[[#This Row],[Treatment_Cost]]&gt;50000,"High","Standard")</f>
        <v>Standard</v>
      </c>
    </row>
    <row r="98" spans="1:13" x14ac:dyDescent="0.35">
      <c r="A98" t="s">
        <v>129</v>
      </c>
      <c r="B98">
        <v>19</v>
      </c>
      <c r="C98" t="s">
        <v>12</v>
      </c>
      <c r="D98" s="1">
        <v>45974</v>
      </c>
      <c r="E98" s="1">
        <v>45977</v>
      </c>
      <c r="F98" t="s">
        <v>25</v>
      </c>
      <c r="G98" t="s">
        <v>20</v>
      </c>
      <c r="H98" t="s">
        <v>27</v>
      </c>
      <c r="I98">
        <v>76289</v>
      </c>
      <c r="J98" t="s">
        <v>28</v>
      </c>
      <c r="K98" t="s">
        <v>22</v>
      </c>
      <c r="L98">
        <f>Table1[[#This Row],[Discharge_Date]]-Table1[[#This Row],[Admission_Date]]</f>
        <v>3</v>
      </c>
      <c r="M98" t="str">
        <f>IF(Table1[[#This Row],[Treatment_Cost]]&gt;50000,"High","Standard")</f>
        <v>High</v>
      </c>
    </row>
    <row r="99" spans="1:13" x14ac:dyDescent="0.35">
      <c r="A99" t="s">
        <v>130</v>
      </c>
      <c r="B99">
        <v>21</v>
      </c>
      <c r="C99" t="s">
        <v>24</v>
      </c>
      <c r="D99" s="1">
        <v>45833</v>
      </c>
      <c r="E99" s="1">
        <v>45835</v>
      </c>
      <c r="F99" t="s">
        <v>19</v>
      </c>
      <c r="G99" t="s">
        <v>20</v>
      </c>
      <c r="H99" t="s">
        <v>21</v>
      </c>
      <c r="I99">
        <v>25096</v>
      </c>
      <c r="J99" t="s">
        <v>16</v>
      </c>
      <c r="K99" t="s">
        <v>22</v>
      </c>
      <c r="L99">
        <f>Table1[[#This Row],[Discharge_Date]]-Table1[[#This Row],[Admission_Date]]</f>
        <v>2</v>
      </c>
      <c r="M99" t="str">
        <f>IF(Table1[[#This Row],[Treatment_Cost]]&gt;50000,"High","Standard")</f>
        <v>Standard</v>
      </c>
    </row>
    <row r="100" spans="1:13" x14ac:dyDescent="0.35">
      <c r="A100" t="s">
        <v>131</v>
      </c>
      <c r="B100">
        <v>36</v>
      </c>
      <c r="C100" t="s">
        <v>24</v>
      </c>
      <c r="D100" s="1">
        <v>45971</v>
      </c>
      <c r="E100" s="1">
        <v>45974</v>
      </c>
      <c r="F100" t="s">
        <v>36</v>
      </c>
      <c r="G100" t="s">
        <v>33</v>
      </c>
      <c r="H100" t="s">
        <v>27</v>
      </c>
      <c r="I100">
        <v>73741</v>
      </c>
      <c r="J100" t="s">
        <v>28</v>
      </c>
      <c r="K100" t="s">
        <v>17</v>
      </c>
      <c r="L100">
        <f>Table1[[#This Row],[Discharge_Date]]-Table1[[#This Row],[Admission_Date]]</f>
        <v>3</v>
      </c>
      <c r="M100" t="str">
        <f>IF(Table1[[#This Row],[Treatment_Cost]]&gt;50000,"High","Standard")</f>
        <v>High</v>
      </c>
    </row>
    <row r="101" spans="1:13" x14ac:dyDescent="0.35">
      <c r="A101" t="s">
        <v>132</v>
      </c>
      <c r="B101">
        <v>66</v>
      </c>
      <c r="C101" t="s">
        <v>12</v>
      </c>
      <c r="D101" s="1">
        <v>45901</v>
      </c>
      <c r="E101" s="1">
        <v>45904</v>
      </c>
      <c r="F101" t="s">
        <v>19</v>
      </c>
      <c r="G101" t="s">
        <v>14</v>
      </c>
      <c r="H101" t="s">
        <v>27</v>
      </c>
      <c r="I101">
        <v>74846</v>
      </c>
      <c r="J101" t="s">
        <v>28</v>
      </c>
      <c r="K101" t="s">
        <v>17</v>
      </c>
      <c r="L101">
        <f>Table1[[#This Row],[Discharge_Date]]-Table1[[#This Row],[Admission_Date]]</f>
        <v>3</v>
      </c>
      <c r="M101" t="str">
        <f>IF(Table1[[#This Row],[Treatment_Cost]]&gt;50000,"High","Standard")</f>
        <v>High</v>
      </c>
    </row>
    <row r="102" spans="1:13" x14ac:dyDescent="0.35">
      <c r="A102" t="s">
        <v>133</v>
      </c>
      <c r="B102">
        <v>76</v>
      </c>
      <c r="C102" t="s">
        <v>12</v>
      </c>
      <c r="D102" s="1">
        <v>45686</v>
      </c>
      <c r="E102" s="1">
        <v>45696</v>
      </c>
      <c r="F102" t="s">
        <v>36</v>
      </c>
      <c r="G102" t="s">
        <v>33</v>
      </c>
      <c r="H102" t="s">
        <v>21</v>
      </c>
      <c r="I102">
        <v>59157</v>
      </c>
      <c r="J102" t="s">
        <v>16</v>
      </c>
      <c r="K102" t="s">
        <v>29</v>
      </c>
      <c r="L102">
        <f>Table1[[#This Row],[Discharge_Date]]-Table1[[#This Row],[Admission_Date]]</f>
        <v>10</v>
      </c>
      <c r="M102" t="str">
        <f>IF(Table1[[#This Row],[Treatment_Cost]]&gt;50000,"High","Standard")</f>
        <v>High</v>
      </c>
    </row>
    <row r="103" spans="1:13" x14ac:dyDescent="0.35">
      <c r="A103" t="s">
        <v>134</v>
      </c>
      <c r="B103">
        <v>20</v>
      </c>
      <c r="C103" t="s">
        <v>24</v>
      </c>
      <c r="D103" s="1">
        <v>45898</v>
      </c>
      <c r="E103" s="1">
        <v>45902</v>
      </c>
      <c r="F103" t="s">
        <v>36</v>
      </c>
      <c r="G103" t="s">
        <v>33</v>
      </c>
      <c r="H103" t="s">
        <v>15</v>
      </c>
      <c r="I103">
        <v>62933</v>
      </c>
      <c r="J103" t="s">
        <v>28</v>
      </c>
      <c r="K103" t="s">
        <v>22</v>
      </c>
      <c r="L103">
        <f>Table1[[#This Row],[Discharge_Date]]-Table1[[#This Row],[Admission_Date]]</f>
        <v>4</v>
      </c>
      <c r="M103" t="str">
        <f>IF(Table1[[#This Row],[Treatment_Cost]]&gt;50000,"High","Standard")</f>
        <v>High</v>
      </c>
    </row>
    <row r="104" spans="1:13" x14ac:dyDescent="0.35">
      <c r="A104" t="s">
        <v>135</v>
      </c>
      <c r="B104">
        <v>31</v>
      </c>
      <c r="C104" t="s">
        <v>12</v>
      </c>
      <c r="D104" s="1">
        <v>45952</v>
      </c>
      <c r="E104" s="1">
        <v>45953</v>
      </c>
      <c r="F104" t="s">
        <v>13</v>
      </c>
      <c r="G104" t="s">
        <v>26</v>
      </c>
      <c r="H104" t="s">
        <v>34</v>
      </c>
      <c r="I104">
        <v>16676</v>
      </c>
      <c r="J104" t="s">
        <v>28</v>
      </c>
      <c r="K104" t="s">
        <v>22</v>
      </c>
      <c r="L104">
        <f>Table1[[#This Row],[Discharge_Date]]-Table1[[#This Row],[Admission_Date]]</f>
        <v>1</v>
      </c>
      <c r="M104" t="str">
        <f>IF(Table1[[#This Row],[Treatment_Cost]]&gt;50000,"High","Standard")</f>
        <v>Standard</v>
      </c>
    </row>
    <row r="105" spans="1:13" x14ac:dyDescent="0.35">
      <c r="A105" t="s">
        <v>136</v>
      </c>
      <c r="B105">
        <v>46</v>
      </c>
      <c r="C105" t="s">
        <v>24</v>
      </c>
      <c r="D105" s="1">
        <v>46002</v>
      </c>
      <c r="E105" s="1">
        <v>46008</v>
      </c>
      <c r="F105" t="s">
        <v>48</v>
      </c>
      <c r="G105" t="s">
        <v>26</v>
      </c>
      <c r="H105" t="s">
        <v>15</v>
      </c>
      <c r="I105">
        <v>8332</v>
      </c>
      <c r="J105" t="s">
        <v>28</v>
      </c>
      <c r="K105" t="s">
        <v>17</v>
      </c>
      <c r="L105">
        <f>Table1[[#This Row],[Discharge_Date]]-Table1[[#This Row],[Admission_Date]]</f>
        <v>6</v>
      </c>
      <c r="M105" t="str">
        <f>IF(Table1[[#This Row],[Treatment_Cost]]&gt;50000,"High","Standard")</f>
        <v>Standard</v>
      </c>
    </row>
    <row r="106" spans="1:13" x14ac:dyDescent="0.35">
      <c r="A106" t="s">
        <v>137</v>
      </c>
      <c r="B106">
        <v>39</v>
      </c>
      <c r="C106" t="s">
        <v>24</v>
      </c>
      <c r="D106" s="1">
        <v>45660</v>
      </c>
      <c r="E106" s="1">
        <v>45665</v>
      </c>
      <c r="F106" t="s">
        <v>48</v>
      </c>
      <c r="G106" t="s">
        <v>40</v>
      </c>
      <c r="H106" t="s">
        <v>27</v>
      </c>
      <c r="I106">
        <v>56161</v>
      </c>
      <c r="J106" t="s">
        <v>28</v>
      </c>
      <c r="K106" t="s">
        <v>22</v>
      </c>
      <c r="L106">
        <f>Table1[[#This Row],[Discharge_Date]]-Table1[[#This Row],[Admission_Date]]</f>
        <v>5</v>
      </c>
      <c r="M106" t="str">
        <f>IF(Table1[[#This Row],[Treatment_Cost]]&gt;50000,"High","Standard")</f>
        <v>High</v>
      </c>
    </row>
    <row r="107" spans="1:13" x14ac:dyDescent="0.35">
      <c r="A107" t="s">
        <v>138</v>
      </c>
      <c r="B107">
        <v>44</v>
      </c>
      <c r="C107" t="s">
        <v>24</v>
      </c>
      <c r="D107" s="1">
        <v>45977</v>
      </c>
      <c r="E107" s="1">
        <v>45981</v>
      </c>
      <c r="F107" t="s">
        <v>13</v>
      </c>
      <c r="G107" t="s">
        <v>14</v>
      </c>
      <c r="H107" t="s">
        <v>34</v>
      </c>
      <c r="I107">
        <v>85533</v>
      </c>
      <c r="J107" t="s">
        <v>16</v>
      </c>
      <c r="K107" t="s">
        <v>22</v>
      </c>
      <c r="L107">
        <f>Table1[[#This Row],[Discharge_Date]]-Table1[[#This Row],[Admission_Date]]</f>
        <v>4</v>
      </c>
      <c r="M107" t="str">
        <f>IF(Table1[[#This Row],[Treatment_Cost]]&gt;50000,"High","Standard")</f>
        <v>High</v>
      </c>
    </row>
    <row r="108" spans="1:13" x14ac:dyDescent="0.35">
      <c r="A108" t="s">
        <v>139</v>
      </c>
      <c r="B108">
        <v>19</v>
      </c>
      <c r="C108" t="s">
        <v>24</v>
      </c>
      <c r="D108" s="1">
        <v>45742</v>
      </c>
      <c r="E108" s="1">
        <v>45743</v>
      </c>
      <c r="F108" t="s">
        <v>13</v>
      </c>
      <c r="G108" t="s">
        <v>33</v>
      </c>
      <c r="H108" t="s">
        <v>21</v>
      </c>
      <c r="I108">
        <v>27094</v>
      </c>
      <c r="J108" t="s">
        <v>16</v>
      </c>
      <c r="K108" t="s">
        <v>29</v>
      </c>
      <c r="L108">
        <f>Table1[[#This Row],[Discharge_Date]]-Table1[[#This Row],[Admission_Date]]</f>
        <v>1</v>
      </c>
      <c r="M108" t="str">
        <f>IF(Table1[[#This Row],[Treatment_Cost]]&gt;50000,"High","Standard")</f>
        <v>Standard</v>
      </c>
    </row>
    <row r="109" spans="1:13" x14ac:dyDescent="0.35">
      <c r="A109" t="s">
        <v>140</v>
      </c>
      <c r="B109">
        <v>19</v>
      </c>
      <c r="C109" t="s">
        <v>12</v>
      </c>
      <c r="D109" s="1">
        <v>45678</v>
      </c>
      <c r="E109" s="1">
        <v>45685</v>
      </c>
      <c r="F109" t="s">
        <v>19</v>
      </c>
      <c r="G109" t="s">
        <v>26</v>
      </c>
      <c r="H109" t="s">
        <v>34</v>
      </c>
      <c r="I109">
        <v>46560</v>
      </c>
      <c r="J109" t="s">
        <v>28</v>
      </c>
      <c r="K109" t="s">
        <v>22</v>
      </c>
      <c r="L109">
        <f>Table1[[#This Row],[Discharge_Date]]-Table1[[#This Row],[Admission_Date]]</f>
        <v>7</v>
      </c>
      <c r="M109" t="str">
        <f>IF(Table1[[#This Row],[Treatment_Cost]]&gt;50000,"High","Standard")</f>
        <v>Standard</v>
      </c>
    </row>
    <row r="110" spans="1:13" x14ac:dyDescent="0.35">
      <c r="A110" t="s">
        <v>141</v>
      </c>
      <c r="B110">
        <v>46</v>
      </c>
      <c r="C110" t="s">
        <v>24</v>
      </c>
      <c r="D110" s="1">
        <v>45690</v>
      </c>
      <c r="E110" s="1">
        <v>45697</v>
      </c>
      <c r="F110" t="s">
        <v>25</v>
      </c>
      <c r="G110" t="s">
        <v>14</v>
      </c>
      <c r="H110" t="s">
        <v>15</v>
      </c>
      <c r="I110">
        <v>31608</v>
      </c>
      <c r="J110" t="s">
        <v>28</v>
      </c>
      <c r="K110" t="s">
        <v>17</v>
      </c>
      <c r="L110">
        <f>Table1[[#This Row],[Discharge_Date]]-Table1[[#This Row],[Admission_Date]]</f>
        <v>7</v>
      </c>
      <c r="M110" t="str">
        <f>IF(Table1[[#This Row],[Treatment_Cost]]&gt;50000,"High","Standard")</f>
        <v>Standard</v>
      </c>
    </row>
    <row r="111" spans="1:13" x14ac:dyDescent="0.35">
      <c r="A111" t="s">
        <v>142</v>
      </c>
      <c r="B111">
        <v>56</v>
      </c>
      <c r="C111" t="s">
        <v>12</v>
      </c>
      <c r="D111" s="1">
        <v>46002</v>
      </c>
      <c r="E111" s="1">
        <v>46004</v>
      </c>
      <c r="F111" t="s">
        <v>13</v>
      </c>
      <c r="G111" t="s">
        <v>40</v>
      </c>
      <c r="H111" t="s">
        <v>15</v>
      </c>
      <c r="I111">
        <v>20663</v>
      </c>
      <c r="J111" t="s">
        <v>16</v>
      </c>
      <c r="K111" t="s">
        <v>29</v>
      </c>
      <c r="L111">
        <f>Table1[[#This Row],[Discharge_Date]]-Table1[[#This Row],[Admission_Date]]</f>
        <v>2</v>
      </c>
      <c r="M111" t="str">
        <f>IF(Table1[[#This Row],[Treatment_Cost]]&gt;50000,"High","Standard")</f>
        <v>Standard</v>
      </c>
    </row>
    <row r="112" spans="1:13" x14ac:dyDescent="0.35">
      <c r="A112" t="s">
        <v>143</v>
      </c>
      <c r="B112">
        <v>50</v>
      </c>
      <c r="C112" t="s">
        <v>24</v>
      </c>
      <c r="D112" s="1">
        <v>45683</v>
      </c>
      <c r="E112" s="1">
        <v>45687</v>
      </c>
      <c r="F112" t="s">
        <v>25</v>
      </c>
      <c r="G112" t="s">
        <v>14</v>
      </c>
      <c r="H112" t="s">
        <v>15</v>
      </c>
      <c r="I112">
        <v>39173</v>
      </c>
      <c r="J112" t="s">
        <v>16</v>
      </c>
      <c r="K112" t="s">
        <v>17</v>
      </c>
      <c r="L112">
        <f>Table1[[#This Row],[Discharge_Date]]-Table1[[#This Row],[Admission_Date]]</f>
        <v>4</v>
      </c>
      <c r="M112" t="str">
        <f>IF(Table1[[#This Row],[Treatment_Cost]]&gt;50000,"High","Standard")</f>
        <v>Standard</v>
      </c>
    </row>
    <row r="113" spans="1:13" x14ac:dyDescent="0.35">
      <c r="A113" t="s">
        <v>144</v>
      </c>
      <c r="B113">
        <v>71</v>
      </c>
      <c r="C113" t="s">
        <v>12</v>
      </c>
      <c r="D113" s="1">
        <v>45711</v>
      </c>
      <c r="E113" s="1">
        <v>45719</v>
      </c>
      <c r="F113" t="s">
        <v>25</v>
      </c>
      <c r="G113" t="s">
        <v>26</v>
      </c>
      <c r="H113" t="s">
        <v>15</v>
      </c>
      <c r="I113">
        <v>10073</v>
      </c>
      <c r="J113" t="s">
        <v>16</v>
      </c>
      <c r="K113" t="s">
        <v>17</v>
      </c>
      <c r="L113">
        <f>Table1[[#This Row],[Discharge_Date]]-Table1[[#This Row],[Admission_Date]]</f>
        <v>8</v>
      </c>
      <c r="M113" t="str">
        <f>IF(Table1[[#This Row],[Treatment_Cost]]&gt;50000,"High","Standard")</f>
        <v>Standard</v>
      </c>
    </row>
    <row r="114" spans="1:13" x14ac:dyDescent="0.35">
      <c r="A114" t="s">
        <v>145</v>
      </c>
      <c r="B114">
        <v>56</v>
      </c>
      <c r="C114" t="s">
        <v>24</v>
      </c>
      <c r="D114" s="1">
        <v>45817</v>
      </c>
      <c r="E114" s="1">
        <v>45825</v>
      </c>
      <c r="F114" t="s">
        <v>19</v>
      </c>
      <c r="G114" t="s">
        <v>33</v>
      </c>
      <c r="H114" t="s">
        <v>21</v>
      </c>
      <c r="I114">
        <v>62753</v>
      </c>
      <c r="J114" t="s">
        <v>16</v>
      </c>
      <c r="K114" t="s">
        <v>22</v>
      </c>
      <c r="L114">
        <f>Table1[[#This Row],[Discharge_Date]]-Table1[[#This Row],[Admission_Date]]</f>
        <v>8</v>
      </c>
      <c r="M114" t="str">
        <f>IF(Table1[[#This Row],[Treatment_Cost]]&gt;50000,"High","Standard")</f>
        <v>High</v>
      </c>
    </row>
    <row r="115" spans="1:13" x14ac:dyDescent="0.35">
      <c r="A115" t="s">
        <v>146</v>
      </c>
      <c r="B115">
        <v>77</v>
      </c>
      <c r="C115" t="s">
        <v>24</v>
      </c>
      <c r="D115" s="1">
        <v>45767</v>
      </c>
      <c r="E115" s="1">
        <v>45775</v>
      </c>
      <c r="F115" t="s">
        <v>19</v>
      </c>
      <c r="G115" t="s">
        <v>14</v>
      </c>
      <c r="H115" t="s">
        <v>27</v>
      </c>
      <c r="I115">
        <v>83217</v>
      </c>
      <c r="J115" t="s">
        <v>28</v>
      </c>
      <c r="K115" t="s">
        <v>29</v>
      </c>
      <c r="L115">
        <f>Table1[[#This Row],[Discharge_Date]]-Table1[[#This Row],[Admission_Date]]</f>
        <v>8</v>
      </c>
      <c r="M115" t="str">
        <f>IF(Table1[[#This Row],[Treatment_Cost]]&gt;50000,"High","Standard")</f>
        <v>High</v>
      </c>
    </row>
    <row r="116" spans="1:13" x14ac:dyDescent="0.35">
      <c r="A116" t="s">
        <v>147</v>
      </c>
      <c r="B116">
        <v>55</v>
      </c>
      <c r="C116" t="s">
        <v>12</v>
      </c>
      <c r="D116" s="1">
        <v>45977</v>
      </c>
      <c r="E116" s="1">
        <v>45984</v>
      </c>
      <c r="F116" t="s">
        <v>36</v>
      </c>
      <c r="G116" t="s">
        <v>26</v>
      </c>
      <c r="H116" t="s">
        <v>27</v>
      </c>
      <c r="I116">
        <v>18105</v>
      </c>
      <c r="J116" t="s">
        <v>28</v>
      </c>
      <c r="K116" t="s">
        <v>22</v>
      </c>
      <c r="L116">
        <f>Table1[[#This Row],[Discharge_Date]]-Table1[[#This Row],[Admission_Date]]</f>
        <v>7</v>
      </c>
      <c r="M116" t="str">
        <f>IF(Table1[[#This Row],[Treatment_Cost]]&gt;50000,"High","Standard")</f>
        <v>Standard</v>
      </c>
    </row>
    <row r="117" spans="1:13" x14ac:dyDescent="0.35">
      <c r="A117" t="s">
        <v>148</v>
      </c>
      <c r="B117">
        <v>53</v>
      </c>
      <c r="C117" t="s">
        <v>24</v>
      </c>
      <c r="D117" s="1">
        <v>45927</v>
      </c>
      <c r="E117" s="1">
        <v>45937</v>
      </c>
      <c r="F117" t="s">
        <v>48</v>
      </c>
      <c r="G117" t="s">
        <v>14</v>
      </c>
      <c r="H117" t="s">
        <v>31</v>
      </c>
      <c r="I117">
        <v>8926</v>
      </c>
      <c r="J117" t="s">
        <v>28</v>
      </c>
      <c r="K117" t="s">
        <v>22</v>
      </c>
      <c r="L117">
        <f>Table1[[#This Row],[Discharge_Date]]-Table1[[#This Row],[Admission_Date]]</f>
        <v>10</v>
      </c>
      <c r="M117" t="str">
        <f>IF(Table1[[#This Row],[Treatment_Cost]]&gt;50000,"High","Standard")</f>
        <v>Standard</v>
      </c>
    </row>
    <row r="118" spans="1:13" x14ac:dyDescent="0.35">
      <c r="A118" t="s">
        <v>149</v>
      </c>
      <c r="B118">
        <v>74</v>
      </c>
      <c r="C118" t="s">
        <v>12</v>
      </c>
      <c r="D118" s="1">
        <v>45804</v>
      </c>
      <c r="E118" s="1">
        <v>45813</v>
      </c>
      <c r="F118" t="s">
        <v>25</v>
      </c>
      <c r="G118" t="s">
        <v>33</v>
      </c>
      <c r="H118" t="s">
        <v>21</v>
      </c>
      <c r="I118">
        <v>49888</v>
      </c>
      <c r="J118" t="s">
        <v>28</v>
      </c>
      <c r="K118" t="s">
        <v>29</v>
      </c>
      <c r="L118">
        <f>Table1[[#This Row],[Discharge_Date]]-Table1[[#This Row],[Admission_Date]]</f>
        <v>9</v>
      </c>
      <c r="M118" t="str">
        <f>IF(Table1[[#This Row],[Treatment_Cost]]&gt;50000,"High","Standard")</f>
        <v>Standard</v>
      </c>
    </row>
    <row r="119" spans="1:13" x14ac:dyDescent="0.35">
      <c r="A119" t="s">
        <v>150</v>
      </c>
      <c r="B119">
        <v>55</v>
      </c>
      <c r="C119" t="s">
        <v>12</v>
      </c>
      <c r="D119" s="1">
        <v>45818</v>
      </c>
      <c r="E119" s="1">
        <v>45826</v>
      </c>
      <c r="F119" t="s">
        <v>48</v>
      </c>
      <c r="G119" t="s">
        <v>40</v>
      </c>
      <c r="H119" t="s">
        <v>34</v>
      </c>
      <c r="I119">
        <v>95706</v>
      </c>
      <c r="J119" t="s">
        <v>28</v>
      </c>
      <c r="K119" t="s">
        <v>22</v>
      </c>
      <c r="L119">
        <f>Table1[[#This Row],[Discharge_Date]]-Table1[[#This Row],[Admission_Date]]</f>
        <v>8</v>
      </c>
      <c r="M119" t="str">
        <f>IF(Table1[[#This Row],[Treatment_Cost]]&gt;50000,"High","Standard")</f>
        <v>High</v>
      </c>
    </row>
    <row r="120" spans="1:13" x14ac:dyDescent="0.35">
      <c r="A120" t="s">
        <v>151</v>
      </c>
      <c r="B120">
        <v>37</v>
      </c>
      <c r="C120" t="s">
        <v>24</v>
      </c>
      <c r="D120" s="1">
        <v>45718</v>
      </c>
      <c r="E120" s="1">
        <v>45720</v>
      </c>
      <c r="F120" t="s">
        <v>25</v>
      </c>
      <c r="G120" t="s">
        <v>14</v>
      </c>
      <c r="H120" t="s">
        <v>27</v>
      </c>
      <c r="I120">
        <v>61684</v>
      </c>
      <c r="J120" t="s">
        <v>28</v>
      </c>
      <c r="K120" t="s">
        <v>17</v>
      </c>
      <c r="L120">
        <f>Table1[[#This Row],[Discharge_Date]]-Table1[[#This Row],[Admission_Date]]</f>
        <v>2</v>
      </c>
      <c r="M120" t="str">
        <f>IF(Table1[[#This Row],[Treatment_Cost]]&gt;50000,"High","Standard")</f>
        <v>High</v>
      </c>
    </row>
    <row r="121" spans="1:13" x14ac:dyDescent="0.35">
      <c r="A121" t="s">
        <v>152</v>
      </c>
      <c r="B121">
        <v>50</v>
      </c>
      <c r="C121" t="s">
        <v>24</v>
      </c>
      <c r="D121" s="1">
        <v>45709</v>
      </c>
      <c r="E121" s="1">
        <v>45718</v>
      </c>
      <c r="F121" t="s">
        <v>36</v>
      </c>
      <c r="G121" t="s">
        <v>14</v>
      </c>
      <c r="H121" t="s">
        <v>15</v>
      </c>
      <c r="I121">
        <v>37151</v>
      </c>
      <c r="J121" t="s">
        <v>28</v>
      </c>
      <c r="K121" t="s">
        <v>22</v>
      </c>
      <c r="L121">
        <f>Table1[[#This Row],[Discharge_Date]]-Table1[[#This Row],[Admission_Date]]</f>
        <v>9</v>
      </c>
      <c r="M121" t="str">
        <f>IF(Table1[[#This Row],[Treatment_Cost]]&gt;50000,"High","Standard")</f>
        <v>Standard</v>
      </c>
    </row>
    <row r="122" spans="1:13" x14ac:dyDescent="0.35">
      <c r="A122" t="s">
        <v>153</v>
      </c>
      <c r="B122">
        <v>42</v>
      </c>
      <c r="C122" t="s">
        <v>24</v>
      </c>
      <c r="D122" s="1">
        <v>45661</v>
      </c>
      <c r="E122" s="1">
        <v>45663</v>
      </c>
      <c r="F122" t="s">
        <v>13</v>
      </c>
      <c r="G122" t="s">
        <v>26</v>
      </c>
      <c r="H122" t="s">
        <v>34</v>
      </c>
      <c r="I122">
        <v>60702</v>
      </c>
      <c r="J122" t="s">
        <v>28</v>
      </c>
      <c r="K122" t="s">
        <v>22</v>
      </c>
      <c r="L122">
        <f>Table1[[#This Row],[Discharge_Date]]-Table1[[#This Row],[Admission_Date]]</f>
        <v>2</v>
      </c>
      <c r="M122" t="str">
        <f>IF(Table1[[#This Row],[Treatment_Cost]]&gt;50000,"High","Standard")</f>
        <v>High</v>
      </c>
    </row>
    <row r="123" spans="1:13" x14ac:dyDescent="0.35">
      <c r="A123" t="s">
        <v>154</v>
      </c>
      <c r="B123">
        <v>44</v>
      </c>
      <c r="C123" t="s">
        <v>24</v>
      </c>
      <c r="D123" s="1">
        <v>45791</v>
      </c>
      <c r="E123" s="1">
        <v>45794</v>
      </c>
      <c r="F123" t="s">
        <v>36</v>
      </c>
      <c r="G123" t="s">
        <v>40</v>
      </c>
      <c r="H123" t="s">
        <v>34</v>
      </c>
      <c r="I123">
        <v>79656</v>
      </c>
      <c r="J123" t="s">
        <v>16</v>
      </c>
      <c r="K123" t="s">
        <v>17</v>
      </c>
      <c r="L123">
        <f>Table1[[#This Row],[Discharge_Date]]-Table1[[#This Row],[Admission_Date]]</f>
        <v>3</v>
      </c>
      <c r="M123" t="str">
        <f>IF(Table1[[#This Row],[Treatment_Cost]]&gt;50000,"High","Standard")</f>
        <v>High</v>
      </c>
    </row>
    <row r="124" spans="1:13" x14ac:dyDescent="0.35">
      <c r="A124" t="s">
        <v>155</v>
      </c>
      <c r="B124">
        <v>26</v>
      </c>
      <c r="C124" t="s">
        <v>12</v>
      </c>
      <c r="D124" s="1">
        <v>45745</v>
      </c>
      <c r="E124" s="1">
        <v>45751</v>
      </c>
      <c r="F124" t="s">
        <v>36</v>
      </c>
      <c r="G124" t="s">
        <v>33</v>
      </c>
      <c r="H124" t="s">
        <v>27</v>
      </c>
      <c r="I124">
        <v>42878</v>
      </c>
      <c r="J124" t="s">
        <v>16</v>
      </c>
      <c r="K124" t="s">
        <v>22</v>
      </c>
      <c r="L124">
        <f>Table1[[#This Row],[Discharge_Date]]-Table1[[#This Row],[Admission_Date]]</f>
        <v>6</v>
      </c>
      <c r="M124" t="str">
        <f>IF(Table1[[#This Row],[Treatment_Cost]]&gt;50000,"High","Standard")</f>
        <v>Standard</v>
      </c>
    </row>
    <row r="125" spans="1:13" x14ac:dyDescent="0.35">
      <c r="A125" t="s">
        <v>156</v>
      </c>
      <c r="B125">
        <v>46</v>
      </c>
      <c r="C125" t="s">
        <v>24</v>
      </c>
      <c r="D125" s="1">
        <v>45805</v>
      </c>
      <c r="E125" s="1">
        <v>45811</v>
      </c>
      <c r="F125" t="s">
        <v>19</v>
      </c>
      <c r="G125" t="s">
        <v>33</v>
      </c>
      <c r="H125" t="s">
        <v>31</v>
      </c>
      <c r="I125">
        <v>23009</v>
      </c>
      <c r="J125" t="s">
        <v>28</v>
      </c>
      <c r="K125" t="s">
        <v>29</v>
      </c>
      <c r="L125">
        <f>Table1[[#This Row],[Discharge_Date]]-Table1[[#This Row],[Admission_Date]]</f>
        <v>6</v>
      </c>
      <c r="M125" t="str">
        <f>IF(Table1[[#This Row],[Treatment_Cost]]&gt;50000,"High","Standard")</f>
        <v>Standard</v>
      </c>
    </row>
    <row r="126" spans="1:13" x14ac:dyDescent="0.35">
      <c r="A126" t="s">
        <v>157</v>
      </c>
      <c r="B126">
        <v>19</v>
      </c>
      <c r="C126" t="s">
        <v>24</v>
      </c>
      <c r="D126" s="1">
        <v>45836</v>
      </c>
      <c r="E126" s="1">
        <v>45840</v>
      </c>
      <c r="F126" t="s">
        <v>19</v>
      </c>
      <c r="G126" t="s">
        <v>14</v>
      </c>
      <c r="H126" t="s">
        <v>34</v>
      </c>
      <c r="I126">
        <v>89029</v>
      </c>
      <c r="J126" t="s">
        <v>28</v>
      </c>
      <c r="K126" t="s">
        <v>29</v>
      </c>
      <c r="L126">
        <f>Table1[[#This Row],[Discharge_Date]]-Table1[[#This Row],[Admission_Date]]</f>
        <v>4</v>
      </c>
      <c r="M126" t="str">
        <f>IF(Table1[[#This Row],[Treatment_Cost]]&gt;50000,"High","Standard")</f>
        <v>High</v>
      </c>
    </row>
    <row r="127" spans="1:13" x14ac:dyDescent="0.35">
      <c r="A127" t="s">
        <v>158</v>
      </c>
      <c r="B127">
        <v>71</v>
      </c>
      <c r="C127" t="s">
        <v>24</v>
      </c>
      <c r="D127" s="1">
        <v>45964</v>
      </c>
      <c r="E127" s="1">
        <v>45970</v>
      </c>
      <c r="F127" t="s">
        <v>19</v>
      </c>
      <c r="G127" t="s">
        <v>14</v>
      </c>
      <c r="H127" t="s">
        <v>27</v>
      </c>
      <c r="I127">
        <v>8104</v>
      </c>
      <c r="J127" t="s">
        <v>28</v>
      </c>
      <c r="K127" t="s">
        <v>29</v>
      </c>
      <c r="L127">
        <f>Table1[[#This Row],[Discharge_Date]]-Table1[[#This Row],[Admission_Date]]</f>
        <v>6</v>
      </c>
      <c r="M127" t="str">
        <f>IF(Table1[[#This Row],[Treatment_Cost]]&gt;50000,"High","Standard")</f>
        <v>Standard</v>
      </c>
    </row>
    <row r="128" spans="1:13" x14ac:dyDescent="0.35">
      <c r="A128" t="s">
        <v>159</v>
      </c>
      <c r="B128">
        <v>49</v>
      </c>
      <c r="C128" t="s">
        <v>12</v>
      </c>
      <c r="D128" s="1">
        <v>45991</v>
      </c>
      <c r="E128" s="1">
        <v>46001</v>
      </c>
      <c r="F128" t="s">
        <v>36</v>
      </c>
      <c r="G128" t="s">
        <v>26</v>
      </c>
      <c r="H128" t="s">
        <v>21</v>
      </c>
      <c r="I128">
        <v>40150</v>
      </c>
      <c r="J128" t="s">
        <v>28</v>
      </c>
      <c r="K128" t="s">
        <v>29</v>
      </c>
      <c r="L128">
        <f>Table1[[#This Row],[Discharge_Date]]-Table1[[#This Row],[Admission_Date]]</f>
        <v>10</v>
      </c>
      <c r="M128" t="str">
        <f>IF(Table1[[#This Row],[Treatment_Cost]]&gt;50000,"High","Standard")</f>
        <v>Standard</v>
      </c>
    </row>
    <row r="129" spans="1:13" x14ac:dyDescent="0.35">
      <c r="A129" t="s">
        <v>160</v>
      </c>
      <c r="B129">
        <v>60</v>
      </c>
      <c r="C129" t="s">
        <v>24</v>
      </c>
      <c r="D129" s="1">
        <v>45704</v>
      </c>
      <c r="E129" s="1">
        <v>45714</v>
      </c>
      <c r="F129" t="s">
        <v>48</v>
      </c>
      <c r="G129" t="s">
        <v>14</v>
      </c>
      <c r="H129" t="s">
        <v>34</v>
      </c>
      <c r="I129">
        <v>84877</v>
      </c>
      <c r="J129" t="s">
        <v>16</v>
      </c>
      <c r="K129" t="s">
        <v>17</v>
      </c>
      <c r="L129">
        <f>Table1[[#This Row],[Discharge_Date]]-Table1[[#This Row],[Admission_Date]]</f>
        <v>10</v>
      </c>
      <c r="M129" t="str">
        <f>IF(Table1[[#This Row],[Treatment_Cost]]&gt;50000,"High","Standard")</f>
        <v>High</v>
      </c>
    </row>
    <row r="130" spans="1:13" x14ac:dyDescent="0.35">
      <c r="A130" t="s">
        <v>161</v>
      </c>
      <c r="B130">
        <v>69</v>
      </c>
      <c r="C130" t="s">
        <v>24</v>
      </c>
      <c r="D130" s="1">
        <v>45843</v>
      </c>
      <c r="E130" s="1">
        <v>45848</v>
      </c>
      <c r="F130" t="s">
        <v>13</v>
      </c>
      <c r="G130" t="s">
        <v>33</v>
      </c>
      <c r="H130" t="s">
        <v>27</v>
      </c>
      <c r="I130">
        <v>56038</v>
      </c>
      <c r="J130" t="s">
        <v>28</v>
      </c>
      <c r="K130" t="s">
        <v>22</v>
      </c>
      <c r="L130">
        <f>Table1[[#This Row],[Discharge_Date]]-Table1[[#This Row],[Admission_Date]]</f>
        <v>5</v>
      </c>
      <c r="M130" t="str">
        <f>IF(Table1[[#This Row],[Treatment_Cost]]&gt;50000,"High","Standard")</f>
        <v>High</v>
      </c>
    </row>
    <row r="131" spans="1:13" x14ac:dyDescent="0.35">
      <c r="A131" t="s">
        <v>162</v>
      </c>
      <c r="B131">
        <v>62</v>
      </c>
      <c r="C131" t="s">
        <v>12</v>
      </c>
      <c r="D131" s="1">
        <v>45877</v>
      </c>
      <c r="E131" s="1">
        <v>45887</v>
      </c>
      <c r="F131" t="s">
        <v>19</v>
      </c>
      <c r="G131" t="s">
        <v>26</v>
      </c>
      <c r="H131" t="s">
        <v>34</v>
      </c>
      <c r="I131">
        <v>63356</v>
      </c>
      <c r="J131" t="s">
        <v>28</v>
      </c>
      <c r="K131" t="s">
        <v>17</v>
      </c>
      <c r="L131">
        <f>Table1[[#This Row],[Discharge_Date]]-Table1[[#This Row],[Admission_Date]]</f>
        <v>10</v>
      </c>
      <c r="M131" t="str">
        <f>IF(Table1[[#This Row],[Treatment_Cost]]&gt;50000,"High","Standard")</f>
        <v>High</v>
      </c>
    </row>
    <row r="132" spans="1:13" x14ac:dyDescent="0.35">
      <c r="A132" t="s">
        <v>163</v>
      </c>
      <c r="B132">
        <v>39</v>
      </c>
      <c r="C132" t="s">
        <v>12</v>
      </c>
      <c r="D132" s="1">
        <v>46001</v>
      </c>
      <c r="E132" s="1">
        <v>46002</v>
      </c>
      <c r="F132" t="s">
        <v>48</v>
      </c>
      <c r="G132" t="s">
        <v>20</v>
      </c>
      <c r="H132" t="s">
        <v>34</v>
      </c>
      <c r="I132">
        <v>20856</v>
      </c>
      <c r="J132" t="s">
        <v>28</v>
      </c>
      <c r="K132" t="s">
        <v>22</v>
      </c>
      <c r="L132">
        <f>Table1[[#This Row],[Discharge_Date]]-Table1[[#This Row],[Admission_Date]]</f>
        <v>1</v>
      </c>
      <c r="M132" t="str">
        <f>IF(Table1[[#This Row],[Treatment_Cost]]&gt;50000,"High","Standard")</f>
        <v>Standard</v>
      </c>
    </row>
    <row r="133" spans="1:13" x14ac:dyDescent="0.35">
      <c r="A133" t="s">
        <v>164</v>
      </c>
      <c r="B133">
        <v>71</v>
      </c>
      <c r="C133" t="s">
        <v>24</v>
      </c>
      <c r="D133" s="1">
        <v>45706</v>
      </c>
      <c r="E133" s="1">
        <v>45716</v>
      </c>
      <c r="F133" t="s">
        <v>13</v>
      </c>
      <c r="G133" t="s">
        <v>40</v>
      </c>
      <c r="H133" t="s">
        <v>27</v>
      </c>
      <c r="I133">
        <v>59923</v>
      </c>
      <c r="J133" t="s">
        <v>28</v>
      </c>
      <c r="K133" t="s">
        <v>29</v>
      </c>
      <c r="L133">
        <f>Table1[[#This Row],[Discharge_Date]]-Table1[[#This Row],[Admission_Date]]</f>
        <v>10</v>
      </c>
      <c r="M133" t="str">
        <f>IF(Table1[[#This Row],[Treatment_Cost]]&gt;50000,"High","Standard")</f>
        <v>High</v>
      </c>
    </row>
    <row r="134" spans="1:13" x14ac:dyDescent="0.35">
      <c r="A134" t="s">
        <v>165</v>
      </c>
      <c r="B134">
        <v>18</v>
      </c>
      <c r="C134" t="s">
        <v>12</v>
      </c>
      <c r="D134" s="1">
        <v>45893</v>
      </c>
      <c r="E134" s="1">
        <v>45895</v>
      </c>
      <c r="F134" t="s">
        <v>36</v>
      </c>
      <c r="G134" t="s">
        <v>20</v>
      </c>
      <c r="H134" t="s">
        <v>21</v>
      </c>
      <c r="I134">
        <v>66788</v>
      </c>
      <c r="J134" t="s">
        <v>16</v>
      </c>
      <c r="K134" t="s">
        <v>17</v>
      </c>
      <c r="L134">
        <f>Table1[[#This Row],[Discharge_Date]]-Table1[[#This Row],[Admission_Date]]</f>
        <v>2</v>
      </c>
      <c r="M134" t="str">
        <f>IF(Table1[[#This Row],[Treatment_Cost]]&gt;50000,"High","Standard")</f>
        <v>High</v>
      </c>
    </row>
    <row r="135" spans="1:13" x14ac:dyDescent="0.35">
      <c r="A135" t="s">
        <v>166</v>
      </c>
      <c r="B135">
        <v>52</v>
      </c>
      <c r="C135" t="s">
        <v>12</v>
      </c>
      <c r="D135" s="1">
        <v>45864</v>
      </c>
      <c r="E135" s="1">
        <v>45865</v>
      </c>
      <c r="F135" t="s">
        <v>13</v>
      </c>
      <c r="G135" t="s">
        <v>40</v>
      </c>
      <c r="H135" t="s">
        <v>34</v>
      </c>
      <c r="I135">
        <v>99057</v>
      </c>
      <c r="J135" t="s">
        <v>28</v>
      </c>
      <c r="K135" t="s">
        <v>29</v>
      </c>
      <c r="L135">
        <f>Table1[[#This Row],[Discharge_Date]]-Table1[[#This Row],[Admission_Date]]</f>
        <v>1</v>
      </c>
      <c r="M135" t="str">
        <f>IF(Table1[[#This Row],[Treatment_Cost]]&gt;50000,"High","Standard")</f>
        <v>High</v>
      </c>
    </row>
    <row r="136" spans="1:13" x14ac:dyDescent="0.35">
      <c r="A136" t="s">
        <v>167</v>
      </c>
      <c r="B136">
        <v>43</v>
      </c>
      <c r="C136" t="s">
        <v>12</v>
      </c>
      <c r="D136" s="1">
        <v>45806</v>
      </c>
      <c r="E136" s="1">
        <v>45816</v>
      </c>
      <c r="F136" t="s">
        <v>48</v>
      </c>
      <c r="G136" t="s">
        <v>26</v>
      </c>
      <c r="H136" t="s">
        <v>27</v>
      </c>
      <c r="I136">
        <v>50695</v>
      </c>
      <c r="J136" t="s">
        <v>16</v>
      </c>
      <c r="K136" t="s">
        <v>29</v>
      </c>
      <c r="L136">
        <f>Table1[[#This Row],[Discharge_Date]]-Table1[[#This Row],[Admission_Date]]</f>
        <v>10</v>
      </c>
      <c r="M136" t="str">
        <f>IF(Table1[[#This Row],[Treatment_Cost]]&gt;50000,"High","Standard")</f>
        <v>High</v>
      </c>
    </row>
    <row r="137" spans="1:13" x14ac:dyDescent="0.35">
      <c r="A137" t="s">
        <v>168</v>
      </c>
      <c r="B137">
        <v>33</v>
      </c>
      <c r="C137" t="s">
        <v>12</v>
      </c>
      <c r="D137" s="1">
        <v>45672</v>
      </c>
      <c r="E137" s="1">
        <v>45673</v>
      </c>
      <c r="F137" t="s">
        <v>19</v>
      </c>
      <c r="G137" t="s">
        <v>20</v>
      </c>
      <c r="H137" t="s">
        <v>15</v>
      </c>
      <c r="I137">
        <v>12679</v>
      </c>
      <c r="J137" t="s">
        <v>28</v>
      </c>
      <c r="K137" t="s">
        <v>17</v>
      </c>
      <c r="L137">
        <f>Table1[[#This Row],[Discharge_Date]]-Table1[[#This Row],[Admission_Date]]</f>
        <v>1</v>
      </c>
      <c r="M137" t="str">
        <f>IF(Table1[[#This Row],[Treatment_Cost]]&gt;50000,"High","Standard")</f>
        <v>Standard</v>
      </c>
    </row>
    <row r="138" spans="1:13" x14ac:dyDescent="0.35">
      <c r="A138" t="s">
        <v>169</v>
      </c>
      <c r="B138">
        <v>50</v>
      </c>
      <c r="C138" t="s">
        <v>12</v>
      </c>
      <c r="D138" s="1">
        <v>45942</v>
      </c>
      <c r="E138" s="1">
        <v>45951</v>
      </c>
      <c r="F138" t="s">
        <v>19</v>
      </c>
      <c r="G138" t="s">
        <v>20</v>
      </c>
      <c r="H138" t="s">
        <v>15</v>
      </c>
      <c r="I138">
        <v>77265</v>
      </c>
      <c r="J138" t="s">
        <v>28</v>
      </c>
      <c r="K138" t="s">
        <v>29</v>
      </c>
      <c r="L138">
        <f>Table1[[#This Row],[Discharge_Date]]-Table1[[#This Row],[Admission_Date]]</f>
        <v>9</v>
      </c>
      <c r="M138" t="str">
        <f>IF(Table1[[#This Row],[Treatment_Cost]]&gt;50000,"High","Standard")</f>
        <v>High</v>
      </c>
    </row>
    <row r="139" spans="1:13" x14ac:dyDescent="0.35">
      <c r="A139" t="s">
        <v>170</v>
      </c>
      <c r="B139">
        <v>70</v>
      </c>
      <c r="C139" t="s">
        <v>12</v>
      </c>
      <c r="D139" s="1">
        <v>46014</v>
      </c>
      <c r="E139" s="1">
        <v>46024</v>
      </c>
      <c r="F139" t="s">
        <v>36</v>
      </c>
      <c r="G139" t="s">
        <v>20</v>
      </c>
      <c r="H139" t="s">
        <v>31</v>
      </c>
      <c r="I139">
        <v>97728</v>
      </c>
      <c r="J139" t="s">
        <v>28</v>
      </c>
      <c r="K139" t="s">
        <v>29</v>
      </c>
      <c r="L139">
        <f>Table1[[#This Row],[Discharge_Date]]-Table1[[#This Row],[Admission_Date]]</f>
        <v>10</v>
      </c>
      <c r="M139" t="str">
        <f>IF(Table1[[#This Row],[Treatment_Cost]]&gt;50000,"High","Standard")</f>
        <v>High</v>
      </c>
    </row>
    <row r="140" spans="1:13" x14ac:dyDescent="0.35">
      <c r="A140" t="s">
        <v>171</v>
      </c>
      <c r="B140">
        <v>28</v>
      </c>
      <c r="C140" t="s">
        <v>24</v>
      </c>
      <c r="D140" s="1">
        <v>45768</v>
      </c>
      <c r="E140" s="1">
        <v>45769</v>
      </c>
      <c r="F140" t="s">
        <v>36</v>
      </c>
      <c r="G140" t="s">
        <v>26</v>
      </c>
      <c r="H140" t="s">
        <v>27</v>
      </c>
      <c r="I140">
        <v>68993</v>
      </c>
      <c r="J140" t="s">
        <v>16</v>
      </c>
      <c r="K140" t="s">
        <v>17</v>
      </c>
      <c r="L140">
        <f>Table1[[#This Row],[Discharge_Date]]-Table1[[#This Row],[Admission_Date]]</f>
        <v>1</v>
      </c>
      <c r="M140" t="str">
        <f>IF(Table1[[#This Row],[Treatment_Cost]]&gt;50000,"High","Standard")</f>
        <v>High</v>
      </c>
    </row>
    <row r="141" spans="1:13" x14ac:dyDescent="0.35">
      <c r="A141" t="s">
        <v>172</v>
      </c>
      <c r="B141">
        <v>27</v>
      </c>
      <c r="C141" t="s">
        <v>24</v>
      </c>
      <c r="D141" s="1">
        <v>45905</v>
      </c>
      <c r="E141" s="1">
        <v>45913</v>
      </c>
      <c r="F141" t="s">
        <v>36</v>
      </c>
      <c r="G141" t="s">
        <v>20</v>
      </c>
      <c r="H141" t="s">
        <v>21</v>
      </c>
      <c r="I141">
        <v>34807</v>
      </c>
      <c r="J141" t="s">
        <v>16</v>
      </c>
      <c r="K141" t="s">
        <v>22</v>
      </c>
      <c r="L141">
        <f>Table1[[#This Row],[Discharge_Date]]-Table1[[#This Row],[Admission_Date]]</f>
        <v>8</v>
      </c>
      <c r="M141" t="str">
        <f>IF(Table1[[#This Row],[Treatment_Cost]]&gt;50000,"High","Standard")</f>
        <v>Standard</v>
      </c>
    </row>
    <row r="142" spans="1:13" x14ac:dyDescent="0.35">
      <c r="A142" t="s">
        <v>173</v>
      </c>
      <c r="B142">
        <v>65</v>
      </c>
      <c r="C142" t="s">
        <v>12</v>
      </c>
      <c r="D142" s="1">
        <v>45758</v>
      </c>
      <c r="E142" s="1">
        <v>45762</v>
      </c>
      <c r="F142" t="s">
        <v>13</v>
      </c>
      <c r="G142" t="s">
        <v>20</v>
      </c>
      <c r="H142" t="s">
        <v>15</v>
      </c>
      <c r="I142">
        <v>51523</v>
      </c>
      <c r="J142" t="s">
        <v>28</v>
      </c>
      <c r="K142" t="s">
        <v>22</v>
      </c>
      <c r="L142">
        <f>Table1[[#This Row],[Discharge_Date]]-Table1[[#This Row],[Admission_Date]]</f>
        <v>4</v>
      </c>
      <c r="M142" t="str">
        <f>IF(Table1[[#This Row],[Treatment_Cost]]&gt;50000,"High","Standard")</f>
        <v>High</v>
      </c>
    </row>
    <row r="143" spans="1:13" x14ac:dyDescent="0.35">
      <c r="A143" t="s">
        <v>174</v>
      </c>
      <c r="B143">
        <v>40</v>
      </c>
      <c r="C143" t="s">
        <v>12</v>
      </c>
      <c r="D143" s="1">
        <v>45988</v>
      </c>
      <c r="E143" s="1">
        <v>45997</v>
      </c>
      <c r="F143" t="s">
        <v>36</v>
      </c>
      <c r="G143" t="s">
        <v>26</v>
      </c>
      <c r="H143" t="s">
        <v>21</v>
      </c>
      <c r="I143">
        <v>11645</v>
      </c>
      <c r="J143" t="s">
        <v>28</v>
      </c>
      <c r="K143" t="s">
        <v>17</v>
      </c>
      <c r="L143">
        <f>Table1[[#This Row],[Discharge_Date]]-Table1[[#This Row],[Admission_Date]]</f>
        <v>9</v>
      </c>
      <c r="M143" t="str">
        <f>IF(Table1[[#This Row],[Treatment_Cost]]&gt;50000,"High","Standard")</f>
        <v>Standard</v>
      </c>
    </row>
    <row r="144" spans="1:13" x14ac:dyDescent="0.35">
      <c r="A144" t="s">
        <v>175</v>
      </c>
      <c r="B144">
        <v>38</v>
      </c>
      <c r="C144" t="s">
        <v>12</v>
      </c>
      <c r="D144" s="1">
        <v>45956</v>
      </c>
      <c r="E144" s="1">
        <v>45958</v>
      </c>
      <c r="F144" t="s">
        <v>25</v>
      </c>
      <c r="G144" t="s">
        <v>26</v>
      </c>
      <c r="H144" t="s">
        <v>31</v>
      </c>
      <c r="I144">
        <v>90734</v>
      </c>
      <c r="J144" t="s">
        <v>16</v>
      </c>
      <c r="K144" t="s">
        <v>22</v>
      </c>
      <c r="L144">
        <f>Table1[[#This Row],[Discharge_Date]]-Table1[[#This Row],[Admission_Date]]</f>
        <v>2</v>
      </c>
      <c r="M144" t="str">
        <f>IF(Table1[[#This Row],[Treatment_Cost]]&gt;50000,"High","Standard")</f>
        <v>High</v>
      </c>
    </row>
    <row r="145" spans="1:13" x14ac:dyDescent="0.35">
      <c r="A145" t="s">
        <v>176</v>
      </c>
      <c r="B145">
        <v>24</v>
      </c>
      <c r="C145" t="s">
        <v>24</v>
      </c>
      <c r="D145" s="1">
        <v>45853</v>
      </c>
      <c r="E145" s="1">
        <v>45855</v>
      </c>
      <c r="F145" t="s">
        <v>36</v>
      </c>
      <c r="G145" t="s">
        <v>33</v>
      </c>
      <c r="H145" t="s">
        <v>15</v>
      </c>
      <c r="I145">
        <v>20683</v>
      </c>
      <c r="J145" t="s">
        <v>16</v>
      </c>
      <c r="K145" t="s">
        <v>22</v>
      </c>
      <c r="L145">
        <f>Table1[[#This Row],[Discharge_Date]]-Table1[[#This Row],[Admission_Date]]</f>
        <v>2</v>
      </c>
      <c r="M145" t="str">
        <f>IF(Table1[[#This Row],[Treatment_Cost]]&gt;50000,"High","Standard")</f>
        <v>Standard</v>
      </c>
    </row>
    <row r="146" spans="1:13" x14ac:dyDescent="0.35">
      <c r="A146" t="s">
        <v>177</v>
      </c>
      <c r="B146">
        <v>39</v>
      </c>
      <c r="C146" t="s">
        <v>24</v>
      </c>
      <c r="D146" s="1">
        <v>45981</v>
      </c>
      <c r="E146" s="1">
        <v>45990</v>
      </c>
      <c r="F146" t="s">
        <v>25</v>
      </c>
      <c r="G146" t="s">
        <v>40</v>
      </c>
      <c r="H146" t="s">
        <v>34</v>
      </c>
      <c r="I146">
        <v>7704</v>
      </c>
      <c r="J146" t="s">
        <v>16</v>
      </c>
      <c r="K146" t="s">
        <v>29</v>
      </c>
      <c r="L146">
        <f>Table1[[#This Row],[Discharge_Date]]-Table1[[#This Row],[Admission_Date]]</f>
        <v>9</v>
      </c>
      <c r="M146" t="str">
        <f>IF(Table1[[#This Row],[Treatment_Cost]]&gt;50000,"High","Standard")</f>
        <v>Standard</v>
      </c>
    </row>
    <row r="147" spans="1:13" x14ac:dyDescent="0.35">
      <c r="A147" t="s">
        <v>178</v>
      </c>
      <c r="B147">
        <v>47</v>
      </c>
      <c r="C147" t="s">
        <v>12</v>
      </c>
      <c r="D147" s="1">
        <v>45879</v>
      </c>
      <c r="E147" s="1">
        <v>45886</v>
      </c>
      <c r="F147" t="s">
        <v>13</v>
      </c>
      <c r="G147" t="s">
        <v>20</v>
      </c>
      <c r="H147" t="s">
        <v>21</v>
      </c>
      <c r="I147">
        <v>26457</v>
      </c>
      <c r="J147" t="s">
        <v>28</v>
      </c>
      <c r="K147" t="s">
        <v>22</v>
      </c>
      <c r="L147">
        <f>Table1[[#This Row],[Discharge_Date]]-Table1[[#This Row],[Admission_Date]]</f>
        <v>7</v>
      </c>
      <c r="M147" t="str">
        <f>IF(Table1[[#This Row],[Treatment_Cost]]&gt;50000,"High","Standard")</f>
        <v>Standard</v>
      </c>
    </row>
    <row r="148" spans="1:13" x14ac:dyDescent="0.35">
      <c r="A148" t="s">
        <v>179</v>
      </c>
      <c r="B148">
        <v>30</v>
      </c>
      <c r="C148" t="s">
        <v>12</v>
      </c>
      <c r="D148" s="1">
        <v>45909</v>
      </c>
      <c r="E148" s="1">
        <v>45915</v>
      </c>
      <c r="F148" t="s">
        <v>13</v>
      </c>
      <c r="G148" t="s">
        <v>33</v>
      </c>
      <c r="H148" t="s">
        <v>34</v>
      </c>
      <c r="I148">
        <v>96123</v>
      </c>
      <c r="J148" t="s">
        <v>16</v>
      </c>
      <c r="K148" t="s">
        <v>17</v>
      </c>
      <c r="L148">
        <f>Table1[[#This Row],[Discharge_Date]]-Table1[[#This Row],[Admission_Date]]</f>
        <v>6</v>
      </c>
      <c r="M148" t="str">
        <f>IF(Table1[[#This Row],[Treatment_Cost]]&gt;50000,"High","Standard")</f>
        <v>High</v>
      </c>
    </row>
    <row r="149" spans="1:13" x14ac:dyDescent="0.35">
      <c r="A149" t="s">
        <v>180</v>
      </c>
      <c r="B149">
        <v>67</v>
      </c>
      <c r="C149" t="s">
        <v>12</v>
      </c>
      <c r="D149" s="1">
        <v>45737</v>
      </c>
      <c r="E149" s="1">
        <v>45743</v>
      </c>
      <c r="F149" t="s">
        <v>13</v>
      </c>
      <c r="G149" t="s">
        <v>33</v>
      </c>
      <c r="H149" t="s">
        <v>31</v>
      </c>
      <c r="I149">
        <v>21829</v>
      </c>
      <c r="J149" t="s">
        <v>16</v>
      </c>
      <c r="K149" t="s">
        <v>17</v>
      </c>
      <c r="L149">
        <f>Table1[[#This Row],[Discharge_Date]]-Table1[[#This Row],[Admission_Date]]</f>
        <v>6</v>
      </c>
      <c r="M149" t="str">
        <f>IF(Table1[[#This Row],[Treatment_Cost]]&gt;50000,"High","Standard")</f>
        <v>Standard</v>
      </c>
    </row>
    <row r="150" spans="1:13" x14ac:dyDescent="0.35">
      <c r="A150" t="s">
        <v>181</v>
      </c>
      <c r="B150">
        <v>54</v>
      </c>
      <c r="C150" t="s">
        <v>24</v>
      </c>
      <c r="D150" s="1">
        <v>46015</v>
      </c>
      <c r="E150" s="1">
        <v>46025</v>
      </c>
      <c r="F150" t="s">
        <v>19</v>
      </c>
      <c r="G150" t="s">
        <v>40</v>
      </c>
      <c r="H150" t="s">
        <v>34</v>
      </c>
      <c r="I150">
        <v>62989</v>
      </c>
      <c r="J150" t="s">
        <v>16</v>
      </c>
      <c r="K150" t="s">
        <v>17</v>
      </c>
      <c r="L150">
        <f>Table1[[#This Row],[Discharge_Date]]-Table1[[#This Row],[Admission_Date]]</f>
        <v>10</v>
      </c>
      <c r="M150" t="str">
        <f>IF(Table1[[#This Row],[Treatment_Cost]]&gt;50000,"High","Standard")</f>
        <v>High</v>
      </c>
    </row>
    <row r="151" spans="1:13" x14ac:dyDescent="0.35">
      <c r="A151" t="s">
        <v>182</v>
      </c>
      <c r="B151">
        <v>69</v>
      </c>
      <c r="C151" t="s">
        <v>12</v>
      </c>
      <c r="D151" s="1">
        <v>45699</v>
      </c>
      <c r="E151" s="1">
        <v>45707</v>
      </c>
      <c r="F151" t="s">
        <v>25</v>
      </c>
      <c r="G151" t="s">
        <v>26</v>
      </c>
      <c r="H151" t="s">
        <v>34</v>
      </c>
      <c r="I151">
        <v>93826</v>
      </c>
      <c r="J151" t="s">
        <v>16</v>
      </c>
      <c r="K151" t="s">
        <v>29</v>
      </c>
      <c r="L151">
        <f>Table1[[#This Row],[Discharge_Date]]-Table1[[#This Row],[Admission_Date]]</f>
        <v>8</v>
      </c>
      <c r="M151" t="str">
        <f>IF(Table1[[#This Row],[Treatment_Cost]]&gt;50000,"High","Standard")</f>
        <v>High</v>
      </c>
    </row>
    <row r="152" spans="1:13" x14ac:dyDescent="0.35">
      <c r="A152" t="s">
        <v>183</v>
      </c>
      <c r="B152">
        <v>47</v>
      </c>
      <c r="C152" t="s">
        <v>24</v>
      </c>
      <c r="D152" s="1">
        <v>45925</v>
      </c>
      <c r="E152" s="1">
        <v>45930</v>
      </c>
      <c r="F152" t="s">
        <v>36</v>
      </c>
      <c r="G152" t="s">
        <v>26</v>
      </c>
      <c r="H152" t="s">
        <v>21</v>
      </c>
      <c r="I152">
        <v>93829</v>
      </c>
      <c r="J152" t="s">
        <v>28</v>
      </c>
      <c r="K152" t="s">
        <v>29</v>
      </c>
      <c r="L152">
        <f>Table1[[#This Row],[Discharge_Date]]-Table1[[#This Row],[Admission_Date]]</f>
        <v>5</v>
      </c>
      <c r="M152" t="str">
        <f>IF(Table1[[#This Row],[Treatment_Cost]]&gt;50000,"High","Standard")</f>
        <v>High</v>
      </c>
    </row>
    <row r="153" spans="1:13" x14ac:dyDescent="0.35">
      <c r="A153" t="s">
        <v>184</v>
      </c>
      <c r="B153">
        <v>68</v>
      </c>
      <c r="C153" t="s">
        <v>12</v>
      </c>
      <c r="D153" s="1">
        <v>45762</v>
      </c>
      <c r="E153" s="1">
        <v>45770</v>
      </c>
      <c r="F153" t="s">
        <v>48</v>
      </c>
      <c r="G153" t="s">
        <v>33</v>
      </c>
      <c r="H153" t="s">
        <v>21</v>
      </c>
      <c r="I153">
        <v>44623</v>
      </c>
      <c r="J153" t="s">
        <v>28</v>
      </c>
      <c r="K153" t="s">
        <v>17</v>
      </c>
      <c r="L153">
        <f>Table1[[#This Row],[Discharge_Date]]-Table1[[#This Row],[Admission_Date]]</f>
        <v>8</v>
      </c>
      <c r="M153" t="str">
        <f>IF(Table1[[#This Row],[Treatment_Cost]]&gt;50000,"High","Standard")</f>
        <v>Standard</v>
      </c>
    </row>
    <row r="154" spans="1:13" x14ac:dyDescent="0.35">
      <c r="A154" t="s">
        <v>185</v>
      </c>
      <c r="B154">
        <v>73</v>
      </c>
      <c r="C154" t="s">
        <v>24</v>
      </c>
      <c r="D154" s="1">
        <v>45667</v>
      </c>
      <c r="E154" s="1">
        <v>45671</v>
      </c>
      <c r="F154" t="s">
        <v>48</v>
      </c>
      <c r="G154" t="s">
        <v>40</v>
      </c>
      <c r="H154" t="s">
        <v>21</v>
      </c>
      <c r="I154">
        <v>83866</v>
      </c>
      <c r="J154" t="s">
        <v>16</v>
      </c>
      <c r="K154" t="s">
        <v>17</v>
      </c>
      <c r="L154">
        <f>Table1[[#This Row],[Discharge_Date]]-Table1[[#This Row],[Admission_Date]]</f>
        <v>4</v>
      </c>
      <c r="M154" t="str">
        <f>IF(Table1[[#This Row],[Treatment_Cost]]&gt;50000,"High","Standard")</f>
        <v>High</v>
      </c>
    </row>
    <row r="155" spans="1:13" x14ac:dyDescent="0.35">
      <c r="A155" t="s">
        <v>186</v>
      </c>
      <c r="B155">
        <v>51</v>
      </c>
      <c r="C155" t="s">
        <v>12</v>
      </c>
      <c r="D155" s="1">
        <v>45877</v>
      </c>
      <c r="E155" s="1">
        <v>45878</v>
      </c>
      <c r="F155" t="s">
        <v>19</v>
      </c>
      <c r="G155" t="s">
        <v>14</v>
      </c>
      <c r="H155" t="s">
        <v>31</v>
      </c>
      <c r="I155">
        <v>51034</v>
      </c>
      <c r="J155" t="s">
        <v>28</v>
      </c>
      <c r="K155" t="s">
        <v>29</v>
      </c>
      <c r="L155">
        <f>Table1[[#This Row],[Discharge_Date]]-Table1[[#This Row],[Admission_Date]]</f>
        <v>1</v>
      </c>
      <c r="M155" t="str">
        <f>IF(Table1[[#This Row],[Treatment_Cost]]&gt;50000,"High","Standard")</f>
        <v>High</v>
      </c>
    </row>
    <row r="156" spans="1:13" x14ac:dyDescent="0.35">
      <c r="A156" t="s">
        <v>187</v>
      </c>
      <c r="B156">
        <v>65</v>
      </c>
      <c r="C156" t="s">
        <v>12</v>
      </c>
      <c r="D156" s="1">
        <v>45807</v>
      </c>
      <c r="E156" s="1">
        <v>45809</v>
      </c>
      <c r="F156" t="s">
        <v>13</v>
      </c>
      <c r="G156" t="s">
        <v>26</v>
      </c>
      <c r="H156" t="s">
        <v>15</v>
      </c>
      <c r="I156">
        <v>72385</v>
      </c>
      <c r="J156" t="s">
        <v>28</v>
      </c>
      <c r="K156" t="s">
        <v>29</v>
      </c>
      <c r="L156">
        <f>Table1[[#This Row],[Discharge_Date]]-Table1[[#This Row],[Admission_Date]]</f>
        <v>2</v>
      </c>
      <c r="M156" t="str">
        <f>IF(Table1[[#This Row],[Treatment_Cost]]&gt;50000,"High","Standard")</f>
        <v>High</v>
      </c>
    </row>
    <row r="157" spans="1:13" x14ac:dyDescent="0.35">
      <c r="A157" t="s">
        <v>188</v>
      </c>
      <c r="B157">
        <v>79</v>
      </c>
      <c r="C157" t="s">
        <v>24</v>
      </c>
      <c r="D157" s="1">
        <v>46002</v>
      </c>
      <c r="E157" s="1">
        <v>46003</v>
      </c>
      <c r="F157" t="s">
        <v>19</v>
      </c>
      <c r="G157" t="s">
        <v>20</v>
      </c>
      <c r="H157" t="s">
        <v>34</v>
      </c>
      <c r="I157">
        <v>68353</v>
      </c>
      <c r="J157" t="s">
        <v>16</v>
      </c>
      <c r="K157" t="s">
        <v>22</v>
      </c>
      <c r="L157">
        <f>Table1[[#This Row],[Discharge_Date]]-Table1[[#This Row],[Admission_Date]]</f>
        <v>1</v>
      </c>
      <c r="M157" t="str">
        <f>IF(Table1[[#This Row],[Treatment_Cost]]&gt;50000,"High","Standard")</f>
        <v>High</v>
      </c>
    </row>
    <row r="158" spans="1:13" x14ac:dyDescent="0.35">
      <c r="A158" t="s">
        <v>189</v>
      </c>
      <c r="B158">
        <v>62</v>
      </c>
      <c r="C158" t="s">
        <v>12</v>
      </c>
      <c r="D158" s="1">
        <v>45814</v>
      </c>
      <c r="E158" s="1">
        <v>45815</v>
      </c>
      <c r="F158" t="s">
        <v>19</v>
      </c>
      <c r="G158" t="s">
        <v>26</v>
      </c>
      <c r="H158" t="s">
        <v>21</v>
      </c>
      <c r="I158">
        <v>7440</v>
      </c>
      <c r="J158" t="s">
        <v>28</v>
      </c>
      <c r="K158" t="s">
        <v>22</v>
      </c>
      <c r="L158">
        <f>Table1[[#This Row],[Discharge_Date]]-Table1[[#This Row],[Admission_Date]]</f>
        <v>1</v>
      </c>
      <c r="M158" t="str">
        <f>IF(Table1[[#This Row],[Treatment_Cost]]&gt;50000,"High","Standard")</f>
        <v>Standard</v>
      </c>
    </row>
    <row r="159" spans="1:13" x14ac:dyDescent="0.35">
      <c r="A159" t="s">
        <v>190</v>
      </c>
      <c r="B159">
        <v>57</v>
      </c>
      <c r="C159" t="s">
        <v>12</v>
      </c>
      <c r="D159" s="1">
        <v>45747</v>
      </c>
      <c r="E159" s="1">
        <v>45750</v>
      </c>
      <c r="F159" t="s">
        <v>36</v>
      </c>
      <c r="G159" t="s">
        <v>20</v>
      </c>
      <c r="H159" t="s">
        <v>34</v>
      </c>
      <c r="I159">
        <v>55138</v>
      </c>
      <c r="J159" t="s">
        <v>28</v>
      </c>
      <c r="K159" t="s">
        <v>22</v>
      </c>
      <c r="L159">
        <f>Table1[[#This Row],[Discharge_Date]]-Table1[[#This Row],[Admission_Date]]</f>
        <v>3</v>
      </c>
      <c r="M159" t="str">
        <f>IF(Table1[[#This Row],[Treatment_Cost]]&gt;50000,"High","Standard")</f>
        <v>High</v>
      </c>
    </row>
    <row r="160" spans="1:13" x14ac:dyDescent="0.35">
      <c r="A160" t="s">
        <v>191</v>
      </c>
      <c r="B160">
        <v>46</v>
      </c>
      <c r="C160" t="s">
        <v>12</v>
      </c>
      <c r="D160" s="1">
        <v>45836</v>
      </c>
      <c r="E160" s="1">
        <v>45843</v>
      </c>
      <c r="F160" t="s">
        <v>36</v>
      </c>
      <c r="G160" t="s">
        <v>40</v>
      </c>
      <c r="H160" t="s">
        <v>27</v>
      </c>
      <c r="I160">
        <v>71028</v>
      </c>
      <c r="J160" t="s">
        <v>28</v>
      </c>
      <c r="K160" t="s">
        <v>22</v>
      </c>
      <c r="L160">
        <f>Table1[[#This Row],[Discharge_Date]]-Table1[[#This Row],[Admission_Date]]</f>
        <v>7</v>
      </c>
      <c r="M160" t="str">
        <f>IF(Table1[[#This Row],[Treatment_Cost]]&gt;50000,"High","Standard")</f>
        <v>High</v>
      </c>
    </row>
    <row r="161" spans="1:13" x14ac:dyDescent="0.35">
      <c r="A161" t="s">
        <v>192</v>
      </c>
      <c r="B161">
        <v>23</v>
      </c>
      <c r="C161" t="s">
        <v>12</v>
      </c>
      <c r="D161" s="1">
        <v>45765</v>
      </c>
      <c r="E161" s="1">
        <v>45769</v>
      </c>
      <c r="F161" t="s">
        <v>19</v>
      </c>
      <c r="G161" t="s">
        <v>20</v>
      </c>
      <c r="H161" t="s">
        <v>27</v>
      </c>
      <c r="I161">
        <v>69419</v>
      </c>
      <c r="J161" t="s">
        <v>16</v>
      </c>
      <c r="K161" t="s">
        <v>17</v>
      </c>
      <c r="L161">
        <f>Table1[[#This Row],[Discharge_Date]]-Table1[[#This Row],[Admission_Date]]</f>
        <v>4</v>
      </c>
      <c r="M161" t="str">
        <f>IF(Table1[[#This Row],[Treatment_Cost]]&gt;50000,"High","Standard")</f>
        <v>High</v>
      </c>
    </row>
    <row r="162" spans="1:13" x14ac:dyDescent="0.35">
      <c r="A162" t="s">
        <v>193</v>
      </c>
      <c r="B162">
        <v>46</v>
      </c>
      <c r="C162" t="s">
        <v>24</v>
      </c>
      <c r="D162" s="1">
        <v>45817</v>
      </c>
      <c r="E162" s="1">
        <v>45822</v>
      </c>
      <c r="F162" t="s">
        <v>13</v>
      </c>
      <c r="G162" t="s">
        <v>33</v>
      </c>
      <c r="H162" t="s">
        <v>27</v>
      </c>
      <c r="I162">
        <v>89164</v>
      </c>
      <c r="J162" t="s">
        <v>16</v>
      </c>
      <c r="K162" t="s">
        <v>29</v>
      </c>
      <c r="L162">
        <f>Table1[[#This Row],[Discharge_Date]]-Table1[[#This Row],[Admission_Date]]</f>
        <v>5</v>
      </c>
      <c r="M162" t="str">
        <f>IF(Table1[[#This Row],[Treatment_Cost]]&gt;50000,"High","Standard")</f>
        <v>High</v>
      </c>
    </row>
    <row r="163" spans="1:13" x14ac:dyDescent="0.35">
      <c r="A163" t="s">
        <v>194</v>
      </c>
      <c r="B163">
        <v>70</v>
      </c>
      <c r="C163" t="s">
        <v>12</v>
      </c>
      <c r="D163" s="1">
        <v>45676</v>
      </c>
      <c r="E163" s="1">
        <v>45682</v>
      </c>
      <c r="F163" t="s">
        <v>25</v>
      </c>
      <c r="G163" t="s">
        <v>33</v>
      </c>
      <c r="H163" t="s">
        <v>15</v>
      </c>
      <c r="I163">
        <v>71049</v>
      </c>
      <c r="J163" t="s">
        <v>28</v>
      </c>
      <c r="K163" t="s">
        <v>29</v>
      </c>
      <c r="L163">
        <f>Table1[[#This Row],[Discharge_Date]]-Table1[[#This Row],[Admission_Date]]</f>
        <v>6</v>
      </c>
      <c r="M163" t="str">
        <f>IF(Table1[[#This Row],[Treatment_Cost]]&gt;50000,"High","Standard")</f>
        <v>High</v>
      </c>
    </row>
    <row r="164" spans="1:13" x14ac:dyDescent="0.35">
      <c r="A164" t="s">
        <v>195</v>
      </c>
      <c r="B164">
        <v>53</v>
      </c>
      <c r="C164" t="s">
        <v>12</v>
      </c>
      <c r="D164" s="1">
        <v>45833</v>
      </c>
      <c r="E164" s="1">
        <v>45836</v>
      </c>
      <c r="F164" t="s">
        <v>13</v>
      </c>
      <c r="G164" t="s">
        <v>40</v>
      </c>
      <c r="H164" t="s">
        <v>31</v>
      </c>
      <c r="I164">
        <v>69949</v>
      </c>
      <c r="J164" t="s">
        <v>16</v>
      </c>
      <c r="K164" t="s">
        <v>17</v>
      </c>
      <c r="L164">
        <f>Table1[[#This Row],[Discharge_Date]]-Table1[[#This Row],[Admission_Date]]</f>
        <v>3</v>
      </c>
      <c r="M164" t="str">
        <f>IF(Table1[[#This Row],[Treatment_Cost]]&gt;50000,"High","Standard")</f>
        <v>High</v>
      </c>
    </row>
    <row r="165" spans="1:13" x14ac:dyDescent="0.35">
      <c r="A165" t="s">
        <v>196</v>
      </c>
      <c r="B165">
        <v>80</v>
      </c>
      <c r="C165" t="s">
        <v>12</v>
      </c>
      <c r="D165" s="1">
        <v>45957</v>
      </c>
      <c r="E165" s="1">
        <v>45965</v>
      </c>
      <c r="F165" t="s">
        <v>36</v>
      </c>
      <c r="G165" t="s">
        <v>20</v>
      </c>
      <c r="H165" t="s">
        <v>34</v>
      </c>
      <c r="I165">
        <v>45265</v>
      </c>
      <c r="J165" t="s">
        <v>16</v>
      </c>
      <c r="K165" t="s">
        <v>22</v>
      </c>
      <c r="L165">
        <f>Table1[[#This Row],[Discharge_Date]]-Table1[[#This Row],[Admission_Date]]</f>
        <v>8</v>
      </c>
      <c r="M165" t="str">
        <f>IF(Table1[[#This Row],[Treatment_Cost]]&gt;50000,"High","Standard")</f>
        <v>Standard</v>
      </c>
    </row>
    <row r="166" spans="1:13" x14ac:dyDescent="0.35">
      <c r="A166" t="s">
        <v>197</v>
      </c>
      <c r="B166">
        <v>69</v>
      </c>
      <c r="C166" t="s">
        <v>12</v>
      </c>
      <c r="D166" s="1">
        <v>45778</v>
      </c>
      <c r="E166" s="1">
        <v>45779</v>
      </c>
      <c r="F166" t="s">
        <v>25</v>
      </c>
      <c r="G166" t="s">
        <v>20</v>
      </c>
      <c r="H166" t="s">
        <v>27</v>
      </c>
      <c r="I166">
        <v>84084</v>
      </c>
      <c r="J166" t="s">
        <v>28</v>
      </c>
      <c r="K166" t="s">
        <v>29</v>
      </c>
      <c r="L166">
        <f>Table1[[#This Row],[Discharge_Date]]-Table1[[#This Row],[Admission_Date]]</f>
        <v>1</v>
      </c>
      <c r="M166" t="str">
        <f>IF(Table1[[#This Row],[Treatment_Cost]]&gt;50000,"High","Standard")</f>
        <v>High</v>
      </c>
    </row>
    <row r="167" spans="1:13" x14ac:dyDescent="0.35">
      <c r="A167" t="s">
        <v>198</v>
      </c>
      <c r="B167">
        <v>31</v>
      </c>
      <c r="C167" t="s">
        <v>12</v>
      </c>
      <c r="D167" s="1">
        <v>45767</v>
      </c>
      <c r="E167" s="1">
        <v>45775</v>
      </c>
      <c r="F167" t="s">
        <v>48</v>
      </c>
      <c r="G167" t="s">
        <v>14</v>
      </c>
      <c r="H167" t="s">
        <v>15</v>
      </c>
      <c r="I167">
        <v>29470</v>
      </c>
      <c r="J167" t="s">
        <v>16</v>
      </c>
      <c r="K167" t="s">
        <v>29</v>
      </c>
      <c r="L167">
        <f>Table1[[#This Row],[Discharge_Date]]-Table1[[#This Row],[Admission_Date]]</f>
        <v>8</v>
      </c>
      <c r="M167" t="str">
        <f>IF(Table1[[#This Row],[Treatment_Cost]]&gt;50000,"High","Standard")</f>
        <v>Standard</v>
      </c>
    </row>
    <row r="168" spans="1:13" x14ac:dyDescent="0.35">
      <c r="A168" t="s">
        <v>199</v>
      </c>
      <c r="B168">
        <v>57</v>
      </c>
      <c r="C168" t="s">
        <v>12</v>
      </c>
      <c r="D168" s="1">
        <v>45845</v>
      </c>
      <c r="E168" s="1">
        <v>45854</v>
      </c>
      <c r="F168" t="s">
        <v>19</v>
      </c>
      <c r="G168" t="s">
        <v>14</v>
      </c>
      <c r="H168" t="s">
        <v>34</v>
      </c>
      <c r="I168">
        <v>60360</v>
      </c>
      <c r="J168" t="s">
        <v>28</v>
      </c>
      <c r="K168" t="s">
        <v>22</v>
      </c>
      <c r="L168">
        <f>Table1[[#This Row],[Discharge_Date]]-Table1[[#This Row],[Admission_Date]]</f>
        <v>9</v>
      </c>
      <c r="M168" t="str">
        <f>IF(Table1[[#This Row],[Treatment_Cost]]&gt;50000,"High","Standard")</f>
        <v>High</v>
      </c>
    </row>
    <row r="169" spans="1:13" x14ac:dyDescent="0.35">
      <c r="A169" t="s">
        <v>200</v>
      </c>
      <c r="B169">
        <v>57</v>
      </c>
      <c r="C169" t="s">
        <v>24</v>
      </c>
      <c r="D169" s="1">
        <v>45846</v>
      </c>
      <c r="E169" s="1">
        <v>45849</v>
      </c>
      <c r="F169" t="s">
        <v>36</v>
      </c>
      <c r="G169" t="s">
        <v>14</v>
      </c>
      <c r="H169" t="s">
        <v>34</v>
      </c>
      <c r="I169">
        <v>48511</v>
      </c>
      <c r="J169" t="s">
        <v>28</v>
      </c>
      <c r="K169" t="s">
        <v>22</v>
      </c>
      <c r="L169">
        <f>Table1[[#This Row],[Discharge_Date]]-Table1[[#This Row],[Admission_Date]]</f>
        <v>3</v>
      </c>
      <c r="M169" t="str">
        <f>IF(Table1[[#This Row],[Treatment_Cost]]&gt;50000,"High","Standard")</f>
        <v>Standard</v>
      </c>
    </row>
    <row r="170" spans="1:13" x14ac:dyDescent="0.35">
      <c r="A170" t="s">
        <v>201</v>
      </c>
      <c r="B170">
        <v>23</v>
      </c>
      <c r="C170" t="s">
        <v>12</v>
      </c>
      <c r="D170" s="1">
        <v>45779</v>
      </c>
      <c r="E170" s="1">
        <v>45785</v>
      </c>
      <c r="F170" t="s">
        <v>25</v>
      </c>
      <c r="G170" t="s">
        <v>20</v>
      </c>
      <c r="H170" t="s">
        <v>34</v>
      </c>
      <c r="I170">
        <v>99009</v>
      </c>
      <c r="J170" t="s">
        <v>16</v>
      </c>
      <c r="K170" t="s">
        <v>17</v>
      </c>
      <c r="L170">
        <f>Table1[[#This Row],[Discharge_Date]]-Table1[[#This Row],[Admission_Date]]</f>
        <v>6</v>
      </c>
      <c r="M170" t="str">
        <f>IF(Table1[[#This Row],[Treatment_Cost]]&gt;50000,"High","Standard")</f>
        <v>High</v>
      </c>
    </row>
    <row r="171" spans="1:13" x14ac:dyDescent="0.35">
      <c r="A171" t="s">
        <v>202</v>
      </c>
      <c r="B171">
        <v>21</v>
      </c>
      <c r="C171" t="s">
        <v>24</v>
      </c>
      <c r="D171" s="1">
        <v>45738</v>
      </c>
      <c r="E171" s="1">
        <v>45743</v>
      </c>
      <c r="F171" t="s">
        <v>25</v>
      </c>
      <c r="G171" t="s">
        <v>40</v>
      </c>
      <c r="H171" t="s">
        <v>15</v>
      </c>
      <c r="I171">
        <v>36154</v>
      </c>
      <c r="J171" t="s">
        <v>16</v>
      </c>
      <c r="K171" t="s">
        <v>22</v>
      </c>
      <c r="L171">
        <f>Table1[[#This Row],[Discharge_Date]]-Table1[[#This Row],[Admission_Date]]</f>
        <v>5</v>
      </c>
      <c r="M171" t="str">
        <f>IF(Table1[[#This Row],[Treatment_Cost]]&gt;50000,"High","Standard")</f>
        <v>Standard</v>
      </c>
    </row>
    <row r="172" spans="1:13" x14ac:dyDescent="0.35">
      <c r="A172" t="s">
        <v>203</v>
      </c>
      <c r="B172">
        <v>32</v>
      </c>
      <c r="C172" t="s">
        <v>12</v>
      </c>
      <c r="D172" s="1">
        <v>45958</v>
      </c>
      <c r="E172" s="1">
        <v>45965</v>
      </c>
      <c r="F172" t="s">
        <v>25</v>
      </c>
      <c r="G172" t="s">
        <v>33</v>
      </c>
      <c r="H172" t="s">
        <v>31</v>
      </c>
      <c r="I172">
        <v>55287</v>
      </c>
      <c r="J172" t="s">
        <v>28</v>
      </c>
      <c r="K172" t="s">
        <v>17</v>
      </c>
      <c r="L172">
        <f>Table1[[#This Row],[Discharge_Date]]-Table1[[#This Row],[Admission_Date]]</f>
        <v>7</v>
      </c>
      <c r="M172" t="str">
        <f>IF(Table1[[#This Row],[Treatment_Cost]]&gt;50000,"High","Standard")</f>
        <v>High</v>
      </c>
    </row>
    <row r="173" spans="1:13" x14ac:dyDescent="0.35">
      <c r="A173" t="s">
        <v>204</v>
      </c>
      <c r="B173">
        <v>43</v>
      </c>
      <c r="C173" t="s">
        <v>12</v>
      </c>
      <c r="D173" s="1">
        <v>45940</v>
      </c>
      <c r="E173" s="1">
        <v>45949</v>
      </c>
      <c r="F173" t="s">
        <v>13</v>
      </c>
      <c r="G173" t="s">
        <v>14</v>
      </c>
      <c r="H173" t="s">
        <v>21</v>
      </c>
      <c r="I173">
        <v>10914</v>
      </c>
      <c r="J173" t="s">
        <v>28</v>
      </c>
      <c r="K173" t="s">
        <v>22</v>
      </c>
      <c r="L173">
        <f>Table1[[#This Row],[Discharge_Date]]-Table1[[#This Row],[Admission_Date]]</f>
        <v>9</v>
      </c>
      <c r="M173" t="str">
        <f>IF(Table1[[#This Row],[Treatment_Cost]]&gt;50000,"High","Standard")</f>
        <v>Standard</v>
      </c>
    </row>
    <row r="174" spans="1:13" x14ac:dyDescent="0.35">
      <c r="A174" t="s">
        <v>205</v>
      </c>
      <c r="B174">
        <v>60</v>
      </c>
      <c r="C174" t="s">
        <v>12</v>
      </c>
      <c r="D174" s="1">
        <v>45856</v>
      </c>
      <c r="E174" s="1">
        <v>45862</v>
      </c>
      <c r="F174" t="s">
        <v>36</v>
      </c>
      <c r="G174" t="s">
        <v>26</v>
      </c>
      <c r="H174" t="s">
        <v>27</v>
      </c>
      <c r="I174">
        <v>61284</v>
      </c>
      <c r="J174" t="s">
        <v>16</v>
      </c>
      <c r="K174" t="s">
        <v>17</v>
      </c>
      <c r="L174">
        <f>Table1[[#This Row],[Discharge_Date]]-Table1[[#This Row],[Admission_Date]]</f>
        <v>6</v>
      </c>
      <c r="M174" t="str">
        <f>IF(Table1[[#This Row],[Treatment_Cost]]&gt;50000,"High","Standard")</f>
        <v>High</v>
      </c>
    </row>
    <row r="175" spans="1:13" x14ac:dyDescent="0.35">
      <c r="A175" t="s">
        <v>206</v>
      </c>
      <c r="B175">
        <v>45</v>
      </c>
      <c r="C175" t="s">
        <v>12</v>
      </c>
      <c r="D175" s="1">
        <v>45777</v>
      </c>
      <c r="E175" s="1">
        <v>45782</v>
      </c>
      <c r="F175" t="s">
        <v>13</v>
      </c>
      <c r="G175" t="s">
        <v>26</v>
      </c>
      <c r="H175" t="s">
        <v>34</v>
      </c>
      <c r="I175">
        <v>76675</v>
      </c>
      <c r="J175" t="s">
        <v>28</v>
      </c>
      <c r="K175" t="s">
        <v>29</v>
      </c>
      <c r="L175">
        <f>Table1[[#This Row],[Discharge_Date]]-Table1[[#This Row],[Admission_Date]]</f>
        <v>5</v>
      </c>
      <c r="M175" t="str">
        <f>IF(Table1[[#This Row],[Treatment_Cost]]&gt;50000,"High","Standard")</f>
        <v>High</v>
      </c>
    </row>
    <row r="176" spans="1:13" x14ac:dyDescent="0.35">
      <c r="A176" t="s">
        <v>207</v>
      </c>
      <c r="B176">
        <v>28</v>
      </c>
      <c r="C176" t="s">
        <v>12</v>
      </c>
      <c r="D176" s="1">
        <v>45918</v>
      </c>
      <c r="E176" s="1">
        <v>45920</v>
      </c>
      <c r="F176" t="s">
        <v>48</v>
      </c>
      <c r="G176" t="s">
        <v>20</v>
      </c>
      <c r="H176" t="s">
        <v>21</v>
      </c>
      <c r="I176">
        <v>99992</v>
      </c>
      <c r="J176" t="s">
        <v>16</v>
      </c>
      <c r="K176" t="s">
        <v>17</v>
      </c>
      <c r="L176">
        <f>Table1[[#This Row],[Discharge_Date]]-Table1[[#This Row],[Admission_Date]]</f>
        <v>2</v>
      </c>
      <c r="M176" t="str">
        <f>IF(Table1[[#This Row],[Treatment_Cost]]&gt;50000,"High","Standard")</f>
        <v>High</v>
      </c>
    </row>
    <row r="177" spans="1:13" x14ac:dyDescent="0.35">
      <c r="A177" t="s">
        <v>208</v>
      </c>
      <c r="B177">
        <v>50</v>
      </c>
      <c r="C177" t="s">
        <v>24</v>
      </c>
      <c r="D177" s="1">
        <v>45974</v>
      </c>
      <c r="E177" s="1">
        <v>45979</v>
      </c>
      <c r="F177" t="s">
        <v>36</v>
      </c>
      <c r="G177" t="s">
        <v>40</v>
      </c>
      <c r="H177" t="s">
        <v>21</v>
      </c>
      <c r="I177">
        <v>25715</v>
      </c>
      <c r="J177" t="s">
        <v>28</v>
      </c>
      <c r="K177" t="s">
        <v>22</v>
      </c>
      <c r="L177">
        <f>Table1[[#This Row],[Discharge_Date]]-Table1[[#This Row],[Admission_Date]]</f>
        <v>5</v>
      </c>
      <c r="M177" t="str">
        <f>IF(Table1[[#This Row],[Treatment_Cost]]&gt;50000,"High","Standard")</f>
        <v>Standard</v>
      </c>
    </row>
    <row r="178" spans="1:13" x14ac:dyDescent="0.35">
      <c r="A178" t="s">
        <v>209</v>
      </c>
      <c r="B178">
        <v>55</v>
      </c>
      <c r="C178" t="s">
        <v>24</v>
      </c>
      <c r="D178" s="1">
        <v>46014</v>
      </c>
      <c r="E178" s="1">
        <v>46021</v>
      </c>
      <c r="F178" t="s">
        <v>36</v>
      </c>
      <c r="G178" t="s">
        <v>20</v>
      </c>
      <c r="H178" t="s">
        <v>27</v>
      </c>
      <c r="I178">
        <v>8621</v>
      </c>
      <c r="J178" t="s">
        <v>28</v>
      </c>
      <c r="K178" t="s">
        <v>29</v>
      </c>
      <c r="L178">
        <f>Table1[[#This Row],[Discharge_Date]]-Table1[[#This Row],[Admission_Date]]</f>
        <v>7</v>
      </c>
      <c r="M178" t="str">
        <f>IF(Table1[[#This Row],[Treatment_Cost]]&gt;50000,"High","Standard")</f>
        <v>Standard</v>
      </c>
    </row>
    <row r="179" spans="1:13" x14ac:dyDescent="0.35">
      <c r="A179" t="s">
        <v>210</v>
      </c>
      <c r="B179">
        <v>77</v>
      </c>
      <c r="C179" t="s">
        <v>24</v>
      </c>
      <c r="D179" s="1">
        <v>45919</v>
      </c>
      <c r="E179" s="1">
        <v>45926</v>
      </c>
      <c r="F179" t="s">
        <v>48</v>
      </c>
      <c r="G179" t="s">
        <v>14</v>
      </c>
      <c r="H179" t="s">
        <v>27</v>
      </c>
      <c r="I179">
        <v>66458</v>
      </c>
      <c r="J179" t="s">
        <v>28</v>
      </c>
      <c r="K179" t="s">
        <v>17</v>
      </c>
      <c r="L179">
        <f>Table1[[#This Row],[Discharge_Date]]-Table1[[#This Row],[Admission_Date]]</f>
        <v>7</v>
      </c>
      <c r="M179" t="str">
        <f>IF(Table1[[#This Row],[Treatment_Cost]]&gt;50000,"High","Standard")</f>
        <v>High</v>
      </c>
    </row>
    <row r="180" spans="1:13" x14ac:dyDescent="0.35">
      <c r="A180" t="s">
        <v>211</v>
      </c>
      <c r="B180">
        <v>60</v>
      </c>
      <c r="C180" t="s">
        <v>24</v>
      </c>
      <c r="D180" s="1">
        <v>45980</v>
      </c>
      <c r="E180" s="1">
        <v>45984</v>
      </c>
      <c r="F180" t="s">
        <v>48</v>
      </c>
      <c r="G180" t="s">
        <v>40</v>
      </c>
      <c r="H180" t="s">
        <v>34</v>
      </c>
      <c r="I180">
        <v>92900</v>
      </c>
      <c r="J180" t="s">
        <v>28</v>
      </c>
      <c r="K180" t="s">
        <v>17</v>
      </c>
      <c r="L180">
        <f>Table1[[#This Row],[Discharge_Date]]-Table1[[#This Row],[Admission_Date]]</f>
        <v>4</v>
      </c>
      <c r="M180" t="str">
        <f>IF(Table1[[#This Row],[Treatment_Cost]]&gt;50000,"High","Standard")</f>
        <v>High</v>
      </c>
    </row>
    <row r="181" spans="1:13" x14ac:dyDescent="0.35">
      <c r="A181" t="s">
        <v>212</v>
      </c>
      <c r="B181">
        <v>43</v>
      </c>
      <c r="C181" t="s">
        <v>24</v>
      </c>
      <c r="D181" s="1">
        <v>45813</v>
      </c>
      <c r="E181" s="1">
        <v>45821</v>
      </c>
      <c r="F181" t="s">
        <v>25</v>
      </c>
      <c r="G181" t="s">
        <v>40</v>
      </c>
      <c r="H181" t="s">
        <v>27</v>
      </c>
      <c r="I181">
        <v>46908</v>
      </c>
      <c r="J181" t="s">
        <v>28</v>
      </c>
      <c r="K181" t="s">
        <v>22</v>
      </c>
      <c r="L181">
        <f>Table1[[#This Row],[Discharge_Date]]-Table1[[#This Row],[Admission_Date]]</f>
        <v>8</v>
      </c>
      <c r="M181" t="str">
        <f>IF(Table1[[#This Row],[Treatment_Cost]]&gt;50000,"High","Standard")</f>
        <v>Standard</v>
      </c>
    </row>
    <row r="182" spans="1:13" x14ac:dyDescent="0.35">
      <c r="A182" t="s">
        <v>213</v>
      </c>
      <c r="B182">
        <v>40</v>
      </c>
      <c r="C182" t="s">
        <v>24</v>
      </c>
      <c r="D182" s="1">
        <v>45666</v>
      </c>
      <c r="E182" s="1">
        <v>45676</v>
      </c>
      <c r="F182" t="s">
        <v>36</v>
      </c>
      <c r="G182" t="s">
        <v>14</v>
      </c>
      <c r="H182" t="s">
        <v>31</v>
      </c>
      <c r="I182">
        <v>21286</v>
      </c>
      <c r="J182" t="s">
        <v>16</v>
      </c>
      <c r="K182" t="s">
        <v>29</v>
      </c>
      <c r="L182">
        <f>Table1[[#This Row],[Discharge_Date]]-Table1[[#This Row],[Admission_Date]]</f>
        <v>10</v>
      </c>
      <c r="M182" t="str">
        <f>IF(Table1[[#This Row],[Treatment_Cost]]&gt;50000,"High","Standard")</f>
        <v>Standard</v>
      </c>
    </row>
    <row r="183" spans="1:13" x14ac:dyDescent="0.35">
      <c r="A183" t="s">
        <v>214</v>
      </c>
      <c r="B183">
        <v>74</v>
      </c>
      <c r="C183" t="s">
        <v>24</v>
      </c>
      <c r="D183" s="1">
        <v>46007</v>
      </c>
      <c r="E183" s="1">
        <v>46012</v>
      </c>
      <c r="F183" t="s">
        <v>48</v>
      </c>
      <c r="G183" t="s">
        <v>26</v>
      </c>
      <c r="H183" t="s">
        <v>34</v>
      </c>
      <c r="I183">
        <v>48217</v>
      </c>
      <c r="J183" t="s">
        <v>16</v>
      </c>
      <c r="K183" t="s">
        <v>29</v>
      </c>
      <c r="L183">
        <f>Table1[[#This Row],[Discharge_Date]]-Table1[[#This Row],[Admission_Date]]</f>
        <v>5</v>
      </c>
      <c r="M183" t="str">
        <f>IF(Table1[[#This Row],[Treatment_Cost]]&gt;50000,"High","Standard")</f>
        <v>Standard</v>
      </c>
    </row>
    <row r="184" spans="1:13" x14ac:dyDescent="0.35">
      <c r="A184" t="s">
        <v>215</v>
      </c>
      <c r="B184">
        <v>42</v>
      </c>
      <c r="C184" t="s">
        <v>24</v>
      </c>
      <c r="D184" s="1">
        <v>46000</v>
      </c>
      <c r="E184" s="1">
        <v>46003</v>
      </c>
      <c r="F184" t="s">
        <v>13</v>
      </c>
      <c r="G184" t="s">
        <v>40</v>
      </c>
      <c r="H184" t="s">
        <v>21</v>
      </c>
      <c r="I184">
        <v>77201</v>
      </c>
      <c r="J184" t="s">
        <v>16</v>
      </c>
      <c r="K184" t="s">
        <v>29</v>
      </c>
      <c r="L184">
        <f>Table1[[#This Row],[Discharge_Date]]-Table1[[#This Row],[Admission_Date]]</f>
        <v>3</v>
      </c>
      <c r="M184" t="str">
        <f>IF(Table1[[#This Row],[Treatment_Cost]]&gt;50000,"High","Standard")</f>
        <v>High</v>
      </c>
    </row>
    <row r="185" spans="1:13" x14ac:dyDescent="0.35">
      <c r="A185" t="s">
        <v>216</v>
      </c>
      <c r="B185">
        <v>54</v>
      </c>
      <c r="C185" t="s">
        <v>24</v>
      </c>
      <c r="D185" s="1">
        <v>45915</v>
      </c>
      <c r="E185" s="1">
        <v>45919</v>
      </c>
      <c r="F185" t="s">
        <v>19</v>
      </c>
      <c r="G185" t="s">
        <v>40</v>
      </c>
      <c r="H185" t="s">
        <v>15</v>
      </c>
      <c r="I185">
        <v>10593</v>
      </c>
      <c r="J185" t="s">
        <v>28</v>
      </c>
      <c r="K185" t="s">
        <v>17</v>
      </c>
      <c r="L185">
        <f>Table1[[#This Row],[Discharge_Date]]-Table1[[#This Row],[Admission_Date]]</f>
        <v>4</v>
      </c>
      <c r="M185" t="str">
        <f>IF(Table1[[#This Row],[Treatment_Cost]]&gt;50000,"High","Standard")</f>
        <v>Standard</v>
      </c>
    </row>
    <row r="186" spans="1:13" x14ac:dyDescent="0.35">
      <c r="A186" t="s">
        <v>217</v>
      </c>
      <c r="B186">
        <v>29</v>
      </c>
      <c r="C186" t="s">
        <v>24</v>
      </c>
      <c r="D186" s="1">
        <v>45909</v>
      </c>
      <c r="E186" s="1">
        <v>45910</v>
      </c>
      <c r="F186" t="s">
        <v>36</v>
      </c>
      <c r="G186" t="s">
        <v>14</v>
      </c>
      <c r="H186" t="s">
        <v>34</v>
      </c>
      <c r="I186">
        <v>18369</v>
      </c>
      <c r="J186" t="s">
        <v>28</v>
      </c>
      <c r="K186" t="s">
        <v>29</v>
      </c>
      <c r="L186">
        <f>Table1[[#This Row],[Discharge_Date]]-Table1[[#This Row],[Admission_Date]]</f>
        <v>1</v>
      </c>
      <c r="M186" t="str">
        <f>IF(Table1[[#This Row],[Treatment_Cost]]&gt;50000,"High","Standard")</f>
        <v>Standard</v>
      </c>
    </row>
    <row r="187" spans="1:13" x14ac:dyDescent="0.35">
      <c r="A187" t="s">
        <v>218</v>
      </c>
      <c r="B187">
        <v>34</v>
      </c>
      <c r="C187" t="s">
        <v>24</v>
      </c>
      <c r="D187" s="1">
        <v>45789</v>
      </c>
      <c r="E187" s="1">
        <v>45799</v>
      </c>
      <c r="F187" t="s">
        <v>13</v>
      </c>
      <c r="G187" t="s">
        <v>14</v>
      </c>
      <c r="H187" t="s">
        <v>21</v>
      </c>
      <c r="I187">
        <v>7275</v>
      </c>
      <c r="J187" t="s">
        <v>28</v>
      </c>
      <c r="K187" t="s">
        <v>17</v>
      </c>
      <c r="L187">
        <f>Table1[[#This Row],[Discharge_Date]]-Table1[[#This Row],[Admission_Date]]</f>
        <v>10</v>
      </c>
      <c r="M187" t="str">
        <f>IF(Table1[[#This Row],[Treatment_Cost]]&gt;50000,"High","Standard")</f>
        <v>Standard</v>
      </c>
    </row>
    <row r="188" spans="1:13" x14ac:dyDescent="0.35">
      <c r="A188" t="s">
        <v>219</v>
      </c>
      <c r="B188">
        <v>72</v>
      </c>
      <c r="C188" t="s">
        <v>24</v>
      </c>
      <c r="D188" s="1">
        <v>45712</v>
      </c>
      <c r="E188" s="1">
        <v>45713</v>
      </c>
      <c r="F188" t="s">
        <v>13</v>
      </c>
      <c r="G188" t="s">
        <v>14</v>
      </c>
      <c r="H188" t="s">
        <v>27</v>
      </c>
      <c r="I188">
        <v>89513</v>
      </c>
      <c r="J188" t="s">
        <v>28</v>
      </c>
      <c r="K188" t="s">
        <v>17</v>
      </c>
      <c r="L188">
        <f>Table1[[#This Row],[Discharge_Date]]-Table1[[#This Row],[Admission_Date]]</f>
        <v>1</v>
      </c>
      <c r="M188" t="str">
        <f>IF(Table1[[#This Row],[Treatment_Cost]]&gt;50000,"High","Standard")</f>
        <v>High</v>
      </c>
    </row>
    <row r="189" spans="1:13" x14ac:dyDescent="0.35">
      <c r="A189" t="s">
        <v>220</v>
      </c>
      <c r="B189">
        <v>68</v>
      </c>
      <c r="C189" t="s">
        <v>12</v>
      </c>
      <c r="D189" s="1">
        <v>45690</v>
      </c>
      <c r="E189" s="1">
        <v>45699</v>
      </c>
      <c r="F189" t="s">
        <v>19</v>
      </c>
      <c r="G189" t="s">
        <v>20</v>
      </c>
      <c r="H189" t="s">
        <v>34</v>
      </c>
      <c r="I189">
        <v>50639</v>
      </c>
      <c r="J189" t="s">
        <v>28</v>
      </c>
      <c r="K189" t="s">
        <v>29</v>
      </c>
      <c r="L189">
        <f>Table1[[#This Row],[Discharge_Date]]-Table1[[#This Row],[Admission_Date]]</f>
        <v>9</v>
      </c>
      <c r="M189" t="str">
        <f>IF(Table1[[#This Row],[Treatment_Cost]]&gt;50000,"High","Standard")</f>
        <v>High</v>
      </c>
    </row>
    <row r="190" spans="1:13" x14ac:dyDescent="0.35">
      <c r="A190" t="s">
        <v>221</v>
      </c>
      <c r="B190">
        <v>61</v>
      </c>
      <c r="C190" t="s">
        <v>24</v>
      </c>
      <c r="D190" s="1">
        <v>45727</v>
      </c>
      <c r="E190" s="1">
        <v>45729</v>
      </c>
      <c r="F190" t="s">
        <v>36</v>
      </c>
      <c r="G190" t="s">
        <v>40</v>
      </c>
      <c r="H190" t="s">
        <v>15</v>
      </c>
      <c r="I190">
        <v>51903</v>
      </c>
      <c r="J190" t="s">
        <v>28</v>
      </c>
      <c r="K190" t="s">
        <v>22</v>
      </c>
      <c r="L190">
        <f>Table1[[#This Row],[Discharge_Date]]-Table1[[#This Row],[Admission_Date]]</f>
        <v>2</v>
      </c>
      <c r="M190" t="str">
        <f>IF(Table1[[#This Row],[Treatment_Cost]]&gt;50000,"High","Standard")</f>
        <v>High</v>
      </c>
    </row>
    <row r="191" spans="1:13" x14ac:dyDescent="0.35">
      <c r="A191" t="s">
        <v>222</v>
      </c>
      <c r="B191">
        <v>74</v>
      </c>
      <c r="C191" t="s">
        <v>24</v>
      </c>
      <c r="D191" s="1">
        <v>45672</v>
      </c>
      <c r="E191" s="1">
        <v>45678</v>
      </c>
      <c r="F191" t="s">
        <v>48</v>
      </c>
      <c r="G191" t="s">
        <v>40</v>
      </c>
      <c r="H191" t="s">
        <v>27</v>
      </c>
      <c r="I191">
        <v>84317</v>
      </c>
      <c r="J191" t="s">
        <v>28</v>
      </c>
      <c r="K191" t="s">
        <v>29</v>
      </c>
      <c r="L191">
        <f>Table1[[#This Row],[Discharge_Date]]-Table1[[#This Row],[Admission_Date]]</f>
        <v>6</v>
      </c>
      <c r="M191" t="str">
        <f>IF(Table1[[#This Row],[Treatment_Cost]]&gt;50000,"High","Standard")</f>
        <v>High</v>
      </c>
    </row>
    <row r="192" spans="1:13" x14ac:dyDescent="0.35">
      <c r="A192" t="s">
        <v>223</v>
      </c>
      <c r="B192">
        <v>51</v>
      </c>
      <c r="C192" t="s">
        <v>12</v>
      </c>
      <c r="D192" s="1">
        <v>45782</v>
      </c>
      <c r="E192" s="1">
        <v>45791</v>
      </c>
      <c r="F192" t="s">
        <v>36</v>
      </c>
      <c r="G192" t="s">
        <v>26</v>
      </c>
      <c r="H192" t="s">
        <v>27</v>
      </c>
      <c r="I192">
        <v>20814</v>
      </c>
      <c r="J192" t="s">
        <v>28</v>
      </c>
      <c r="K192" t="s">
        <v>22</v>
      </c>
      <c r="L192">
        <f>Table1[[#This Row],[Discharge_Date]]-Table1[[#This Row],[Admission_Date]]</f>
        <v>9</v>
      </c>
      <c r="M192" t="str">
        <f>IF(Table1[[#This Row],[Treatment_Cost]]&gt;50000,"High","Standard")</f>
        <v>Standard</v>
      </c>
    </row>
    <row r="193" spans="1:13" x14ac:dyDescent="0.35">
      <c r="A193" t="s">
        <v>224</v>
      </c>
      <c r="B193">
        <v>64</v>
      </c>
      <c r="C193" t="s">
        <v>12</v>
      </c>
      <c r="D193" s="1">
        <v>45691</v>
      </c>
      <c r="E193" s="1">
        <v>45692</v>
      </c>
      <c r="F193" t="s">
        <v>25</v>
      </c>
      <c r="G193" t="s">
        <v>14</v>
      </c>
      <c r="H193" t="s">
        <v>34</v>
      </c>
      <c r="I193">
        <v>9411</v>
      </c>
      <c r="J193" t="s">
        <v>16</v>
      </c>
      <c r="K193" t="s">
        <v>29</v>
      </c>
      <c r="L193">
        <f>Table1[[#This Row],[Discharge_Date]]-Table1[[#This Row],[Admission_Date]]</f>
        <v>1</v>
      </c>
      <c r="M193" t="str">
        <f>IF(Table1[[#This Row],[Treatment_Cost]]&gt;50000,"High","Standard")</f>
        <v>Standard</v>
      </c>
    </row>
    <row r="194" spans="1:13" x14ac:dyDescent="0.35">
      <c r="A194" t="s">
        <v>225</v>
      </c>
      <c r="B194">
        <v>79</v>
      </c>
      <c r="C194" t="s">
        <v>24</v>
      </c>
      <c r="D194" s="1">
        <v>45844</v>
      </c>
      <c r="E194" s="1">
        <v>45846</v>
      </c>
      <c r="F194" t="s">
        <v>19</v>
      </c>
      <c r="G194" t="s">
        <v>33</v>
      </c>
      <c r="H194" t="s">
        <v>21</v>
      </c>
      <c r="I194">
        <v>16828</v>
      </c>
      <c r="J194" t="s">
        <v>28</v>
      </c>
      <c r="K194" t="s">
        <v>22</v>
      </c>
      <c r="L194">
        <f>Table1[[#This Row],[Discharge_Date]]-Table1[[#This Row],[Admission_Date]]</f>
        <v>2</v>
      </c>
      <c r="M194" t="str">
        <f>IF(Table1[[#This Row],[Treatment_Cost]]&gt;50000,"High","Standard")</f>
        <v>Standard</v>
      </c>
    </row>
    <row r="195" spans="1:13" x14ac:dyDescent="0.35">
      <c r="A195" t="s">
        <v>226</v>
      </c>
      <c r="B195">
        <v>22</v>
      </c>
      <c r="C195" t="s">
        <v>24</v>
      </c>
      <c r="D195" s="1">
        <v>45982</v>
      </c>
      <c r="E195" s="1">
        <v>45992</v>
      </c>
      <c r="F195" t="s">
        <v>13</v>
      </c>
      <c r="G195" t="s">
        <v>20</v>
      </c>
      <c r="H195" t="s">
        <v>21</v>
      </c>
      <c r="I195">
        <v>76352</v>
      </c>
      <c r="J195" t="s">
        <v>16</v>
      </c>
      <c r="K195" t="s">
        <v>22</v>
      </c>
      <c r="L195">
        <f>Table1[[#This Row],[Discharge_Date]]-Table1[[#This Row],[Admission_Date]]</f>
        <v>10</v>
      </c>
      <c r="M195" t="str">
        <f>IF(Table1[[#This Row],[Treatment_Cost]]&gt;50000,"High","Standard")</f>
        <v>High</v>
      </c>
    </row>
    <row r="196" spans="1:13" x14ac:dyDescent="0.35">
      <c r="A196" t="s">
        <v>227</v>
      </c>
      <c r="B196">
        <v>49</v>
      </c>
      <c r="C196" t="s">
        <v>24</v>
      </c>
      <c r="D196" s="1">
        <v>46022</v>
      </c>
      <c r="E196" s="1">
        <v>46024</v>
      </c>
      <c r="F196" t="s">
        <v>13</v>
      </c>
      <c r="G196" t="s">
        <v>40</v>
      </c>
      <c r="H196" t="s">
        <v>21</v>
      </c>
      <c r="I196">
        <v>56860</v>
      </c>
      <c r="J196" t="s">
        <v>28</v>
      </c>
      <c r="K196" t="s">
        <v>29</v>
      </c>
      <c r="L196">
        <f>Table1[[#This Row],[Discharge_Date]]-Table1[[#This Row],[Admission_Date]]</f>
        <v>2</v>
      </c>
      <c r="M196" t="str">
        <f>IF(Table1[[#This Row],[Treatment_Cost]]&gt;50000,"High","Standard")</f>
        <v>High</v>
      </c>
    </row>
    <row r="197" spans="1:13" x14ac:dyDescent="0.35">
      <c r="A197" t="s">
        <v>228</v>
      </c>
      <c r="B197">
        <v>39</v>
      </c>
      <c r="C197" t="s">
        <v>12</v>
      </c>
      <c r="D197" s="1">
        <v>45740</v>
      </c>
      <c r="E197" s="1">
        <v>45749</v>
      </c>
      <c r="F197" t="s">
        <v>36</v>
      </c>
      <c r="G197" t="s">
        <v>20</v>
      </c>
      <c r="H197" t="s">
        <v>31</v>
      </c>
      <c r="I197">
        <v>63986</v>
      </c>
      <c r="J197" t="s">
        <v>28</v>
      </c>
      <c r="K197" t="s">
        <v>17</v>
      </c>
      <c r="L197">
        <f>Table1[[#This Row],[Discharge_Date]]-Table1[[#This Row],[Admission_Date]]</f>
        <v>9</v>
      </c>
      <c r="M197" t="str">
        <f>IF(Table1[[#This Row],[Treatment_Cost]]&gt;50000,"High","Standard")</f>
        <v>High</v>
      </c>
    </row>
    <row r="198" spans="1:13" x14ac:dyDescent="0.35">
      <c r="A198" t="s">
        <v>229</v>
      </c>
      <c r="B198">
        <v>23</v>
      </c>
      <c r="C198" t="s">
        <v>24</v>
      </c>
      <c r="D198" s="1">
        <v>45881</v>
      </c>
      <c r="E198" s="1">
        <v>45888</v>
      </c>
      <c r="F198" t="s">
        <v>25</v>
      </c>
      <c r="G198" t="s">
        <v>26</v>
      </c>
      <c r="H198" t="s">
        <v>34</v>
      </c>
      <c r="I198">
        <v>97092</v>
      </c>
      <c r="J198" t="s">
        <v>16</v>
      </c>
      <c r="K198" t="s">
        <v>29</v>
      </c>
      <c r="L198">
        <f>Table1[[#This Row],[Discharge_Date]]-Table1[[#This Row],[Admission_Date]]</f>
        <v>7</v>
      </c>
      <c r="M198" t="str">
        <f>IF(Table1[[#This Row],[Treatment_Cost]]&gt;50000,"High","Standard")</f>
        <v>High</v>
      </c>
    </row>
    <row r="199" spans="1:13" x14ac:dyDescent="0.35">
      <c r="A199" t="s">
        <v>230</v>
      </c>
      <c r="B199">
        <v>44</v>
      </c>
      <c r="C199" t="s">
        <v>12</v>
      </c>
      <c r="D199" s="1">
        <v>45960</v>
      </c>
      <c r="E199" s="1">
        <v>45962</v>
      </c>
      <c r="F199" t="s">
        <v>25</v>
      </c>
      <c r="G199" t="s">
        <v>33</v>
      </c>
      <c r="H199" t="s">
        <v>21</v>
      </c>
      <c r="I199">
        <v>96957</v>
      </c>
      <c r="J199" t="s">
        <v>16</v>
      </c>
      <c r="K199" t="s">
        <v>17</v>
      </c>
      <c r="L199">
        <f>Table1[[#This Row],[Discharge_Date]]-Table1[[#This Row],[Admission_Date]]</f>
        <v>2</v>
      </c>
      <c r="M199" t="str">
        <f>IF(Table1[[#This Row],[Treatment_Cost]]&gt;50000,"High","Standard")</f>
        <v>High</v>
      </c>
    </row>
    <row r="200" spans="1:13" x14ac:dyDescent="0.35">
      <c r="A200" t="s">
        <v>231</v>
      </c>
      <c r="B200">
        <v>78</v>
      </c>
      <c r="C200" t="s">
        <v>12</v>
      </c>
      <c r="D200" s="1">
        <v>45679</v>
      </c>
      <c r="E200" s="1">
        <v>45680</v>
      </c>
      <c r="F200" t="s">
        <v>48</v>
      </c>
      <c r="G200" t="s">
        <v>26</v>
      </c>
      <c r="H200" t="s">
        <v>34</v>
      </c>
      <c r="I200">
        <v>98298</v>
      </c>
      <c r="J200" t="s">
        <v>16</v>
      </c>
      <c r="K200" t="s">
        <v>29</v>
      </c>
      <c r="L200">
        <f>Table1[[#This Row],[Discharge_Date]]-Table1[[#This Row],[Admission_Date]]</f>
        <v>1</v>
      </c>
      <c r="M200" t="str">
        <f>IF(Table1[[#This Row],[Treatment_Cost]]&gt;50000,"High","Standard")</f>
        <v>High</v>
      </c>
    </row>
    <row r="201" spans="1:13" x14ac:dyDescent="0.35">
      <c r="A201" t="s">
        <v>232</v>
      </c>
      <c r="B201">
        <v>61</v>
      </c>
      <c r="C201" t="s">
        <v>12</v>
      </c>
      <c r="D201" s="1">
        <v>45821</v>
      </c>
      <c r="E201" s="1">
        <v>45829</v>
      </c>
      <c r="F201" t="s">
        <v>48</v>
      </c>
      <c r="G201" t="s">
        <v>26</v>
      </c>
      <c r="H201" t="s">
        <v>34</v>
      </c>
      <c r="I201">
        <v>89118</v>
      </c>
      <c r="J201" t="s">
        <v>16</v>
      </c>
      <c r="K201" t="s">
        <v>22</v>
      </c>
      <c r="L201">
        <f>Table1[[#This Row],[Discharge_Date]]-Table1[[#This Row],[Admission_Date]]</f>
        <v>8</v>
      </c>
      <c r="M201" t="str">
        <f>IF(Table1[[#This Row],[Treatment_Cost]]&gt;50000,"High","Standard")</f>
        <v>High</v>
      </c>
    </row>
    <row r="202" spans="1:13" x14ac:dyDescent="0.35">
      <c r="A202" t="s">
        <v>233</v>
      </c>
      <c r="B202">
        <v>58</v>
      </c>
      <c r="C202" t="s">
        <v>24</v>
      </c>
      <c r="D202" s="1">
        <v>46004</v>
      </c>
      <c r="E202" s="1">
        <v>46013</v>
      </c>
      <c r="F202" t="s">
        <v>36</v>
      </c>
      <c r="G202" t="s">
        <v>33</v>
      </c>
      <c r="H202" t="s">
        <v>21</v>
      </c>
      <c r="I202">
        <v>52777</v>
      </c>
      <c r="J202" t="s">
        <v>16</v>
      </c>
      <c r="K202" t="s">
        <v>22</v>
      </c>
      <c r="L202">
        <f>Table1[[#This Row],[Discharge_Date]]-Table1[[#This Row],[Admission_Date]]</f>
        <v>9</v>
      </c>
      <c r="M202" t="str">
        <f>IF(Table1[[#This Row],[Treatment_Cost]]&gt;50000,"High","Standard")</f>
        <v>High</v>
      </c>
    </row>
    <row r="203" spans="1:13" x14ac:dyDescent="0.35">
      <c r="A203" t="s">
        <v>234</v>
      </c>
      <c r="B203">
        <v>34</v>
      </c>
      <c r="C203" t="s">
        <v>12</v>
      </c>
      <c r="D203" s="1">
        <v>45859</v>
      </c>
      <c r="E203" s="1">
        <v>45862</v>
      </c>
      <c r="F203" t="s">
        <v>19</v>
      </c>
      <c r="G203" t="s">
        <v>20</v>
      </c>
      <c r="H203" t="s">
        <v>34</v>
      </c>
      <c r="I203">
        <v>92696</v>
      </c>
      <c r="J203" t="s">
        <v>28</v>
      </c>
      <c r="K203" t="s">
        <v>17</v>
      </c>
      <c r="L203">
        <f>Table1[[#This Row],[Discharge_Date]]-Table1[[#This Row],[Admission_Date]]</f>
        <v>3</v>
      </c>
      <c r="M203" t="str">
        <f>IF(Table1[[#This Row],[Treatment_Cost]]&gt;50000,"High","Standard")</f>
        <v>High</v>
      </c>
    </row>
    <row r="204" spans="1:13" x14ac:dyDescent="0.35">
      <c r="A204" t="s">
        <v>235</v>
      </c>
      <c r="B204">
        <v>24</v>
      </c>
      <c r="C204" t="s">
        <v>12</v>
      </c>
      <c r="D204" s="1">
        <v>45954</v>
      </c>
      <c r="E204" s="1">
        <v>45959</v>
      </c>
      <c r="F204" t="s">
        <v>25</v>
      </c>
      <c r="G204" t="s">
        <v>14</v>
      </c>
      <c r="H204" t="s">
        <v>27</v>
      </c>
      <c r="I204">
        <v>98695</v>
      </c>
      <c r="J204" t="s">
        <v>16</v>
      </c>
      <c r="K204" t="s">
        <v>17</v>
      </c>
      <c r="L204">
        <f>Table1[[#This Row],[Discharge_Date]]-Table1[[#This Row],[Admission_Date]]</f>
        <v>5</v>
      </c>
      <c r="M204" t="str">
        <f>IF(Table1[[#This Row],[Treatment_Cost]]&gt;50000,"High","Standard")</f>
        <v>High</v>
      </c>
    </row>
    <row r="205" spans="1:13" x14ac:dyDescent="0.35">
      <c r="A205" t="s">
        <v>236</v>
      </c>
      <c r="B205">
        <v>55</v>
      </c>
      <c r="C205" t="s">
        <v>12</v>
      </c>
      <c r="D205" s="1">
        <v>45768</v>
      </c>
      <c r="E205" s="1">
        <v>45775</v>
      </c>
      <c r="F205" t="s">
        <v>19</v>
      </c>
      <c r="G205" t="s">
        <v>40</v>
      </c>
      <c r="H205" t="s">
        <v>31</v>
      </c>
      <c r="I205">
        <v>17808</v>
      </c>
      <c r="J205" t="s">
        <v>16</v>
      </c>
      <c r="K205" t="s">
        <v>17</v>
      </c>
      <c r="L205">
        <f>Table1[[#This Row],[Discharge_Date]]-Table1[[#This Row],[Admission_Date]]</f>
        <v>7</v>
      </c>
      <c r="M205" t="str">
        <f>IF(Table1[[#This Row],[Treatment_Cost]]&gt;50000,"High","Standard")</f>
        <v>Standard</v>
      </c>
    </row>
    <row r="206" spans="1:13" x14ac:dyDescent="0.35">
      <c r="A206" t="s">
        <v>237</v>
      </c>
      <c r="B206">
        <v>42</v>
      </c>
      <c r="C206" t="s">
        <v>12</v>
      </c>
      <c r="D206" s="1">
        <v>45819</v>
      </c>
      <c r="E206" s="1">
        <v>45822</v>
      </c>
      <c r="F206" t="s">
        <v>19</v>
      </c>
      <c r="G206" t="s">
        <v>14</v>
      </c>
      <c r="H206" t="s">
        <v>27</v>
      </c>
      <c r="I206">
        <v>90849</v>
      </c>
      <c r="J206" t="s">
        <v>28</v>
      </c>
      <c r="K206" t="s">
        <v>29</v>
      </c>
      <c r="L206">
        <f>Table1[[#This Row],[Discharge_Date]]-Table1[[#This Row],[Admission_Date]]</f>
        <v>3</v>
      </c>
      <c r="M206" t="str">
        <f>IF(Table1[[#This Row],[Treatment_Cost]]&gt;50000,"High","Standard")</f>
        <v>High</v>
      </c>
    </row>
    <row r="207" spans="1:13" x14ac:dyDescent="0.35">
      <c r="A207" t="s">
        <v>238</v>
      </c>
      <c r="B207">
        <v>66</v>
      </c>
      <c r="C207" t="s">
        <v>12</v>
      </c>
      <c r="D207" s="1">
        <v>45892</v>
      </c>
      <c r="E207" s="1">
        <v>45895</v>
      </c>
      <c r="F207" t="s">
        <v>13</v>
      </c>
      <c r="G207" t="s">
        <v>20</v>
      </c>
      <c r="H207" t="s">
        <v>34</v>
      </c>
      <c r="I207">
        <v>12164</v>
      </c>
      <c r="J207" t="s">
        <v>28</v>
      </c>
      <c r="K207" t="s">
        <v>17</v>
      </c>
      <c r="L207">
        <f>Table1[[#This Row],[Discharge_Date]]-Table1[[#This Row],[Admission_Date]]</f>
        <v>3</v>
      </c>
      <c r="M207" t="str">
        <f>IF(Table1[[#This Row],[Treatment_Cost]]&gt;50000,"High","Standard")</f>
        <v>Standard</v>
      </c>
    </row>
    <row r="208" spans="1:13" x14ac:dyDescent="0.35">
      <c r="A208" t="s">
        <v>239</v>
      </c>
      <c r="B208">
        <v>79</v>
      </c>
      <c r="C208" t="s">
        <v>24</v>
      </c>
      <c r="D208" s="1">
        <v>45663</v>
      </c>
      <c r="E208" s="1">
        <v>45672</v>
      </c>
      <c r="F208" t="s">
        <v>48</v>
      </c>
      <c r="G208" t="s">
        <v>40</v>
      </c>
      <c r="H208" t="s">
        <v>31</v>
      </c>
      <c r="I208">
        <v>97186</v>
      </c>
      <c r="J208" t="s">
        <v>28</v>
      </c>
      <c r="K208" t="s">
        <v>17</v>
      </c>
      <c r="L208">
        <f>Table1[[#This Row],[Discharge_Date]]-Table1[[#This Row],[Admission_Date]]</f>
        <v>9</v>
      </c>
      <c r="M208" t="str">
        <f>IF(Table1[[#This Row],[Treatment_Cost]]&gt;50000,"High","Standard")</f>
        <v>High</v>
      </c>
    </row>
    <row r="209" spans="1:13" x14ac:dyDescent="0.35">
      <c r="A209" t="s">
        <v>240</v>
      </c>
      <c r="B209">
        <v>33</v>
      </c>
      <c r="C209" t="s">
        <v>24</v>
      </c>
      <c r="D209" s="1">
        <v>45671</v>
      </c>
      <c r="E209" s="1">
        <v>45679</v>
      </c>
      <c r="F209" t="s">
        <v>36</v>
      </c>
      <c r="G209" t="s">
        <v>40</v>
      </c>
      <c r="H209" t="s">
        <v>31</v>
      </c>
      <c r="I209">
        <v>53230</v>
      </c>
      <c r="J209" t="s">
        <v>28</v>
      </c>
      <c r="K209" t="s">
        <v>17</v>
      </c>
      <c r="L209">
        <f>Table1[[#This Row],[Discharge_Date]]-Table1[[#This Row],[Admission_Date]]</f>
        <v>8</v>
      </c>
      <c r="M209" t="str">
        <f>IF(Table1[[#This Row],[Treatment_Cost]]&gt;50000,"High","Standard")</f>
        <v>High</v>
      </c>
    </row>
    <row r="210" spans="1:13" x14ac:dyDescent="0.35">
      <c r="A210" t="s">
        <v>241</v>
      </c>
      <c r="B210">
        <v>64</v>
      </c>
      <c r="C210" t="s">
        <v>24</v>
      </c>
      <c r="D210" s="1">
        <v>45892</v>
      </c>
      <c r="E210" s="1">
        <v>45902</v>
      </c>
      <c r="F210" t="s">
        <v>25</v>
      </c>
      <c r="G210" t="s">
        <v>20</v>
      </c>
      <c r="H210" t="s">
        <v>15</v>
      </c>
      <c r="I210">
        <v>38741</v>
      </c>
      <c r="J210" t="s">
        <v>28</v>
      </c>
      <c r="K210" t="s">
        <v>29</v>
      </c>
      <c r="L210">
        <f>Table1[[#This Row],[Discharge_Date]]-Table1[[#This Row],[Admission_Date]]</f>
        <v>10</v>
      </c>
      <c r="M210" t="str">
        <f>IF(Table1[[#This Row],[Treatment_Cost]]&gt;50000,"High","Standard")</f>
        <v>Standard</v>
      </c>
    </row>
    <row r="211" spans="1:13" x14ac:dyDescent="0.35">
      <c r="A211" t="s">
        <v>242</v>
      </c>
      <c r="B211">
        <v>52</v>
      </c>
      <c r="C211" t="s">
        <v>12</v>
      </c>
      <c r="D211" s="1">
        <v>45965</v>
      </c>
      <c r="E211" s="1">
        <v>45973</v>
      </c>
      <c r="F211" t="s">
        <v>13</v>
      </c>
      <c r="G211" t="s">
        <v>20</v>
      </c>
      <c r="H211" t="s">
        <v>34</v>
      </c>
      <c r="I211">
        <v>71261</v>
      </c>
      <c r="J211" t="s">
        <v>16</v>
      </c>
      <c r="K211" t="s">
        <v>22</v>
      </c>
      <c r="L211">
        <f>Table1[[#This Row],[Discharge_Date]]-Table1[[#This Row],[Admission_Date]]</f>
        <v>8</v>
      </c>
      <c r="M211" t="str">
        <f>IF(Table1[[#This Row],[Treatment_Cost]]&gt;50000,"High","Standard")</f>
        <v>High</v>
      </c>
    </row>
    <row r="212" spans="1:13" x14ac:dyDescent="0.35">
      <c r="A212" t="s">
        <v>243</v>
      </c>
      <c r="B212">
        <v>30</v>
      </c>
      <c r="C212" t="s">
        <v>12</v>
      </c>
      <c r="D212" s="1">
        <v>45836</v>
      </c>
      <c r="E212" s="1">
        <v>45839</v>
      </c>
      <c r="F212" t="s">
        <v>13</v>
      </c>
      <c r="G212" t="s">
        <v>14</v>
      </c>
      <c r="H212" t="s">
        <v>31</v>
      </c>
      <c r="I212">
        <v>41646</v>
      </c>
      <c r="J212" t="s">
        <v>28</v>
      </c>
      <c r="K212" t="s">
        <v>29</v>
      </c>
      <c r="L212">
        <f>Table1[[#This Row],[Discharge_Date]]-Table1[[#This Row],[Admission_Date]]</f>
        <v>3</v>
      </c>
      <c r="M212" t="str">
        <f>IF(Table1[[#This Row],[Treatment_Cost]]&gt;50000,"High","Standard")</f>
        <v>Standard</v>
      </c>
    </row>
    <row r="213" spans="1:13" x14ac:dyDescent="0.35">
      <c r="A213" t="s">
        <v>244</v>
      </c>
      <c r="B213">
        <v>72</v>
      </c>
      <c r="C213" t="s">
        <v>24</v>
      </c>
      <c r="D213" s="1">
        <v>45806</v>
      </c>
      <c r="E213" s="1">
        <v>45815</v>
      </c>
      <c r="F213" t="s">
        <v>36</v>
      </c>
      <c r="G213" t="s">
        <v>14</v>
      </c>
      <c r="H213" t="s">
        <v>15</v>
      </c>
      <c r="I213">
        <v>65288</v>
      </c>
      <c r="J213" t="s">
        <v>16</v>
      </c>
      <c r="K213" t="s">
        <v>17</v>
      </c>
      <c r="L213">
        <f>Table1[[#This Row],[Discharge_Date]]-Table1[[#This Row],[Admission_Date]]</f>
        <v>9</v>
      </c>
      <c r="M213" t="str">
        <f>IF(Table1[[#This Row],[Treatment_Cost]]&gt;50000,"High","Standard")</f>
        <v>High</v>
      </c>
    </row>
    <row r="214" spans="1:13" x14ac:dyDescent="0.35">
      <c r="A214" t="s">
        <v>245</v>
      </c>
      <c r="B214">
        <v>67</v>
      </c>
      <c r="C214" t="s">
        <v>12</v>
      </c>
      <c r="D214" s="1">
        <v>45922</v>
      </c>
      <c r="E214" s="1">
        <v>45930</v>
      </c>
      <c r="F214" t="s">
        <v>25</v>
      </c>
      <c r="G214" t="s">
        <v>14</v>
      </c>
      <c r="H214" t="s">
        <v>34</v>
      </c>
      <c r="I214">
        <v>58550</v>
      </c>
      <c r="J214" t="s">
        <v>28</v>
      </c>
      <c r="K214" t="s">
        <v>17</v>
      </c>
      <c r="L214">
        <f>Table1[[#This Row],[Discharge_Date]]-Table1[[#This Row],[Admission_Date]]</f>
        <v>8</v>
      </c>
      <c r="M214" t="str">
        <f>IF(Table1[[#This Row],[Treatment_Cost]]&gt;50000,"High","Standard")</f>
        <v>High</v>
      </c>
    </row>
    <row r="215" spans="1:13" x14ac:dyDescent="0.35">
      <c r="A215" t="s">
        <v>246</v>
      </c>
      <c r="B215">
        <v>55</v>
      </c>
      <c r="C215" t="s">
        <v>12</v>
      </c>
      <c r="D215" s="1">
        <v>45767</v>
      </c>
      <c r="E215" s="1">
        <v>45774</v>
      </c>
      <c r="F215" t="s">
        <v>48</v>
      </c>
      <c r="G215" t="s">
        <v>40</v>
      </c>
      <c r="H215" t="s">
        <v>21</v>
      </c>
      <c r="I215">
        <v>10178</v>
      </c>
      <c r="J215" t="s">
        <v>16</v>
      </c>
      <c r="K215" t="s">
        <v>29</v>
      </c>
      <c r="L215">
        <f>Table1[[#This Row],[Discharge_Date]]-Table1[[#This Row],[Admission_Date]]</f>
        <v>7</v>
      </c>
      <c r="M215" t="str">
        <f>IF(Table1[[#This Row],[Treatment_Cost]]&gt;50000,"High","Standard")</f>
        <v>Standard</v>
      </c>
    </row>
    <row r="216" spans="1:13" x14ac:dyDescent="0.35">
      <c r="A216" t="s">
        <v>247</v>
      </c>
      <c r="B216">
        <v>56</v>
      </c>
      <c r="C216" t="s">
        <v>24</v>
      </c>
      <c r="D216" s="1">
        <v>45907</v>
      </c>
      <c r="E216" s="1">
        <v>45917</v>
      </c>
      <c r="F216" t="s">
        <v>13</v>
      </c>
      <c r="G216" t="s">
        <v>33</v>
      </c>
      <c r="H216" t="s">
        <v>34</v>
      </c>
      <c r="I216">
        <v>53826</v>
      </c>
      <c r="J216" t="s">
        <v>16</v>
      </c>
      <c r="K216" t="s">
        <v>22</v>
      </c>
      <c r="L216">
        <f>Table1[[#This Row],[Discharge_Date]]-Table1[[#This Row],[Admission_Date]]</f>
        <v>10</v>
      </c>
      <c r="M216" t="str">
        <f>IF(Table1[[#This Row],[Treatment_Cost]]&gt;50000,"High","Standard")</f>
        <v>High</v>
      </c>
    </row>
    <row r="217" spans="1:13" x14ac:dyDescent="0.35">
      <c r="A217" t="s">
        <v>248</v>
      </c>
      <c r="B217">
        <v>23</v>
      </c>
      <c r="C217" t="s">
        <v>12</v>
      </c>
      <c r="D217" s="1">
        <v>45665</v>
      </c>
      <c r="E217" s="1">
        <v>45674</v>
      </c>
      <c r="F217" t="s">
        <v>19</v>
      </c>
      <c r="G217" t="s">
        <v>33</v>
      </c>
      <c r="H217" t="s">
        <v>34</v>
      </c>
      <c r="I217">
        <v>43451</v>
      </c>
      <c r="J217" t="s">
        <v>28</v>
      </c>
      <c r="K217" t="s">
        <v>17</v>
      </c>
      <c r="L217">
        <f>Table1[[#This Row],[Discharge_Date]]-Table1[[#This Row],[Admission_Date]]</f>
        <v>9</v>
      </c>
      <c r="M217" t="str">
        <f>IF(Table1[[#This Row],[Treatment_Cost]]&gt;50000,"High","Standard")</f>
        <v>Standard</v>
      </c>
    </row>
    <row r="218" spans="1:13" x14ac:dyDescent="0.35">
      <c r="A218" t="s">
        <v>249</v>
      </c>
      <c r="B218">
        <v>40</v>
      </c>
      <c r="C218" t="s">
        <v>12</v>
      </c>
      <c r="D218" s="1">
        <v>45733</v>
      </c>
      <c r="E218" s="1">
        <v>45737</v>
      </c>
      <c r="F218" t="s">
        <v>36</v>
      </c>
      <c r="G218" t="s">
        <v>14</v>
      </c>
      <c r="H218" t="s">
        <v>34</v>
      </c>
      <c r="I218">
        <v>56642</v>
      </c>
      <c r="J218" t="s">
        <v>16</v>
      </c>
      <c r="K218" t="s">
        <v>22</v>
      </c>
      <c r="L218">
        <f>Table1[[#This Row],[Discharge_Date]]-Table1[[#This Row],[Admission_Date]]</f>
        <v>4</v>
      </c>
      <c r="M218" t="str">
        <f>IF(Table1[[#This Row],[Treatment_Cost]]&gt;50000,"High","Standard")</f>
        <v>High</v>
      </c>
    </row>
    <row r="219" spans="1:13" x14ac:dyDescent="0.35">
      <c r="A219" t="s">
        <v>250</v>
      </c>
      <c r="B219">
        <v>63</v>
      </c>
      <c r="C219" t="s">
        <v>24</v>
      </c>
      <c r="D219" s="1">
        <v>45974</v>
      </c>
      <c r="E219" s="1">
        <v>45983</v>
      </c>
      <c r="F219" t="s">
        <v>19</v>
      </c>
      <c r="G219" t="s">
        <v>20</v>
      </c>
      <c r="H219" t="s">
        <v>31</v>
      </c>
      <c r="I219">
        <v>48177</v>
      </c>
      <c r="J219" t="s">
        <v>28</v>
      </c>
      <c r="K219" t="s">
        <v>29</v>
      </c>
      <c r="L219">
        <f>Table1[[#This Row],[Discharge_Date]]-Table1[[#This Row],[Admission_Date]]</f>
        <v>9</v>
      </c>
      <c r="M219" t="str">
        <f>IF(Table1[[#This Row],[Treatment_Cost]]&gt;50000,"High","Standard")</f>
        <v>Standard</v>
      </c>
    </row>
    <row r="220" spans="1:13" x14ac:dyDescent="0.35">
      <c r="A220" t="s">
        <v>251</v>
      </c>
      <c r="B220">
        <v>49</v>
      </c>
      <c r="C220" t="s">
        <v>12</v>
      </c>
      <c r="D220" s="1">
        <v>45966</v>
      </c>
      <c r="E220" s="1">
        <v>45970</v>
      </c>
      <c r="F220" t="s">
        <v>36</v>
      </c>
      <c r="G220" t="s">
        <v>40</v>
      </c>
      <c r="H220" t="s">
        <v>27</v>
      </c>
      <c r="I220">
        <v>94553</v>
      </c>
      <c r="J220" t="s">
        <v>28</v>
      </c>
      <c r="K220" t="s">
        <v>22</v>
      </c>
      <c r="L220">
        <f>Table1[[#This Row],[Discharge_Date]]-Table1[[#This Row],[Admission_Date]]</f>
        <v>4</v>
      </c>
      <c r="M220" t="str">
        <f>IF(Table1[[#This Row],[Treatment_Cost]]&gt;50000,"High","Standard")</f>
        <v>High</v>
      </c>
    </row>
    <row r="221" spans="1:13" x14ac:dyDescent="0.35">
      <c r="A221" t="s">
        <v>252</v>
      </c>
      <c r="B221">
        <v>25</v>
      </c>
      <c r="C221" t="s">
        <v>24</v>
      </c>
      <c r="D221" s="1">
        <v>45728</v>
      </c>
      <c r="E221" s="1">
        <v>45730</v>
      </c>
      <c r="F221" t="s">
        <v>36</v>
      </c>
      <c r="G221" t="s">
        <v>33</v>
      </c>
      <c r="H221" t="s">
        <v>27</v>
      </c>
      <c r="I221">
        <v>66607</v>
      </c>
      <c r="J221" t="s">
        <v>16</v>
      </c>
      <c r="K221" t="s">
        <v>17</v>
      </c>
      <c r="L221">
        <f>Table1[[#This Row],[Discharge_Date]]-Table1[[#This Row],[Admission_Date]]</f>
        <v>2</v>
      </c>
      <c r="M221" t="str">
        <f>IF(Table1[[#This Row],[Treatment_Cost]]&gt;50000,"High","Standard")</f>
        <v>High</v>
      </c>
    </row>
    <row r="222" spans="1:13" x14ac:dyDescent="0.35">
      <c r="A222" t="s">
        <v>253</v>
      </c>
      <c r="B222">
        <v>22</v>
      </c>
      <c r="C222" t="s">
        <v>12</v>
      </c>
      <c r="D222" s="1">
        <v>45837</v>
      </c>
      <c r="E222" s="1">
        <v>45843</v>
      </c>
      <c r="F222" t="s">
        <v>19</v>
      </c>
      <c r="G222" t="s">
        <v>20</v>
      </c>
      <c r="H222" t="s">
        <v>31</v>
      </c>
      <c r="I222">
        <v>13659</v>
      </c>
      <c r="J222" t="s">
        <v>16</v>
      </c>
      <c r="K222" t="s">
        <v>22</v>
      </c>
      <c r="L222">
        <f>Table1[[#This Row],[Discharge_Date]]-Table1[[#This Row],[Admission_Date]]</f>
        <v>6</v>
      </c>
      <c r="M222" t="str">
        <f>IF(Table1[[#This Row],[Treatment_Cost]]&gt;50000,"High","Standard")</f>
        <v>Standard</v>
      </c>
    </row>
    <row r="223" spans="1:13" x14ac:dyDescent="0.35">
      <c r="A223" t="s">
        <v>254</v>
      </c>
      <c r="B223">
        <v>50</v>
      </c>
      <c r="C223" t="s">
        <v>24</v>
      </c>
      <c r="D223" s="1">
        <v>45813</v>
      </c>
      <c r="E223" s="1">
        <v>45816</v>
      </c>
      <c r="F223" t="s">
        <v>19</v>
      </c>
      <c r="G223" t="s">
        <v>20</v>
      </c>
      <c r="H223" t="s">
        <v>21</v>
      </c>
      <c r="I223">
        <v>12055</v>
      </c>
      <c r="J223" t="s">
        <v>16</v>
      </c>
      <c r="K223" t="s">
        <v>29</v>
      </c>
      <c r="L223">
        <f>Table1[[#This Row],[Discharge_Date]]-Table1[[#This Row],[Admission_Date]]</f>
        <v>3</v>
      </c>
      <c r="M223" t="str">
        <f>IF(Table1[[#This Row],[Treatment_Cost]]&gt;50000,"High","Standard")</f>
        <v>Standard</v>
      </c>
    </row>
    <row r="224" spans="1:13" x14ac:dyDescent="0.35">
      <c r="A224" t="s">
        <v>255</v>
      </c>
      <c r="B224">
        <v>34</v>
      </c>
      <c r="C224" t="s">
        <v>24</v>
      </c>
      <c r="D224" s="1">
        <v>45693</v>
      </c>
      <c r="E224" s="1">
        <v>45697</v>
      </c>
      <c r="F224" t="s">
        <v>13</v>
      </c>
      <c r="G224" t="s">
        <v>14</v>
      </c>
      <c r="H224" t="s">
        <v>34</v>
      </c>
      <c r="I224">
        <v>71999</v>
      </c>
      <c r="J224" t="s">
        <v>28</v>
      </c>
      <c r="K224" t="s">
        <v>22</v>
      </c>
      <c r="L224">
        <f>Table1[[#This Row],[Discharge_Date]]-Table1[[#This Row],[Admission_Date]]</f>
        <v>4</v>
      </c>
      <c r="M224" t="str">
        <f>IF(Table1[[#This Row],[Treatment_Cost]]&gt;50000,"High","Standard")</f>
        <v>High</v>
      </c>
    </row>
    <row r="225" spans="1:13" x14ac:dyDescent="0.35">
      <c r="A225" t="s">
        <v>256</v>
      </c>
      <c r="B225">
        <v>40</v>
      </c>
      <c r="C225" t="s">
        <v>12</v>
      </c>
      <c r="D225" s="1">
        <v>45952</v>
      </c>
      <c r="E225" s="1">
        <v>45953</v>
      </c>
      <c r="F225" t="s">
        <v>19</v>
      </c>
      <c r="G225" t="s">
        <v>33</v>
      </c>
      <c r="H225" t="s">
        <v>21</v>
      </c>
      <c r="I225">
        <v>57628</v>
      </c>
      <c r="J225" t="s">
        <v>16</v>
      </c>
      <c r="K225" t="s">
        <v>29</v>
      </c>
      <c r="L225">
        <f>Table1[[#This Row],[Discharge_Date]]-Table1[[#This Row],[Admission_Date]]</f>
        <v>1</v>
      </c>
      <c r="M225" t="str">
        <f>IF(Table1[[#This Row],[Treatment_Cost]]&gt;50000,"High","Standard")</f>
        <v>High</v>
      </c>
    </row>
    <row r="226" spans="1:13" x14ac:dyDescent="0.35">
      <c r="A226" t="s">
        <v>257</v>
      </c>
      <c r="B226">
        <v>58</v>
      </c>
      <c r="C226" t="s">
        <v>24</v>
      </c>
      <c r="D226" s="1">
        <v>45710</v>
      </c>
      <c r="E226" s="1">
        <v>45714</v>
      </c>
      <c r="F226" t="s">
        <v>25</v>
      </c>
      <c r="G226" t="s">
        <v>33</v>
      </c>
      <c r="H226" t="s">
        <v>34</v>
      </c>
      <c r="I226">
        <v>97282</v>
      </c>
      <c r="J226" t="s">
        <v>16</v>
      </c>
      <c r="K226" t="s">
        <v>22</v>
      </c>
      <c r="L226">
        <f>Table1[[#This Row],[Discharge_Date]]-Table1[[#This Row],[Admission_Date]]</f>
        <v>4</v>
      </c>
      <c r="M226" t="str">
        <f>IF(Table1[[#This Row],[Treatment_Cost]]&gt;50000,"High","Standard")</f>
        <v>High</v>
      </c>
    </row>
    <row r="227" spans="1:13" x14ac:dyDescent="0.35">
      <c r="A227" t="s">
        <v>258</v>
      </c>
      <c r="B227">
        <v>73</v>
      </c>
      <c r="C227" t="s">
        <v>24</v>
      </c>
      <c r="D227" s="1">
        <v>45801</v>
      </c>
      <c r="E227" s="1">
        <v>45802</v>
      </c>
      <c r="F227" t="s">
        <v>25</v>
      </c>
      <c r="G227" t="s">
        <v>40</v>
      </c>
      <c r="H227" t="s">
        <v>15</v>
      </c>
      <c r="I227">
        <v>93363</v>
      </c>
      <c r="J227" t="s">
        <v>16</v>
      </c>
      <c r="K227" t="s">
        <v>29</v>
      </c>
      <c r="L227">
        <f>Table1[[#This Row],[Discharge_Date]]-Table1[[#This Row],[Admission_Date]]</f>
        <v>1</v>
      </c>
      <c r="M227" t="str">
        <f>IF(Table1[[#This Row],[Treatment_Cost]]&gt;50000,"High","Standard")</f>
        <v>High</v>
      </c>
    </row>
    <row r="228" spans="1:13" x14ac:dyDescent="0.35">
      <c r="A228" t="s">
        <v>259</v>
      </c>
      <c r="B228">
        <v>35</v>
      </c>
      <c r="C228" t="s">
        <v>24</v>
      </c>
      <c r="D228" s="1">
        <v>45796</v>
      </c>
      <c r="E228" s="1">
        <v>45802</v>
      </c>
      <c r="F228" t="s">
        <v>48</v>
      </c>
      <c r="G228" t="s">
        <v>26</v>
      </c>
      <c r="H228" t="s">
        <v>34</v>
      </c>
      <c r="I228">
        <v>74139</v>
      </c>
      <c r="J228" t="s">
        <v>28</v>
      </c>
      <c r="K228" t="s">
        <v>22</v>
      </c>
      <c r="L228">
        <f>Table1[[#This Row],[Discharge_Date]]-Table1[[#This Row],[Admission_Date]]</f>
        <v>6</v>
      </c>
      <c r="M228" t="str">
        <f>IF(Table1[[#This Row],[Treatment_Cost]]&gt;50000,"High","Standard")</f>
        <v>High</v>
      </c>
    </row>
    <row r="229" spans="1:13" x14ac:dyDescent="0.35">
      <c r="A229" t="s">
        <v>260</v>
      </c>
      <c r="B229">
        <v>26</v>
      </c>
      <c r="C229" t="s">
        <v>12</v>
      </c>
      <c r="D229" s="1">
        <v>45808</v>
      </c>
      <c r="E229" s="1">
        <v>45818</v>
      </c>
      <c r="F229" t="s">
        <v>36</v>
      </c>
      <c r="G229" t="s">
        <v>14</v>
      </c>
      <c r="H229" t="s">
        <v>21</v>
      </c>
      <c r="I229">
        <v>82227</v>
      </c>
      <c r="J229" t="s">
        <v>16</v>
      </c>
      <c r="K229" t="s">
        <v>29</v>
      </c>
      <c r="L229">
        <f>Table1[[#This Row],[Discharge_Date]]-Table1[[#This Row],[Admission_Date]]</f>
        <v>10</v>
      </c>
      <c r="M229" t="str">
        <f>IF(Table1[[#This Row],[Treatment_Cost]]&gt;50000,"High","Standard")</f>
        <v>High</v>
      </c>
    </row>
    <row r="230" spans="1:13" x14ac:dyDescent="0.35">
      <c r="A230" t="s">
        <v>261</v>
      </c>
      <c r="B230">
        <v>53</v>
      </c>
      <c r="C230" t="s">
        <v>24</v>
      </c>
      <c r="D230" s="1">
        <v>45963</v>
      </c>
      <c r="E230" s="1">
        <v>45972</v>
      </c>
      <c r="F230" t="s">
        <v>19</v>
      </c>
      <c r="G230" t="s">
        <v>40</v>
      </c>
      <c r="H230" t="s">
        <v>15</v>
      </c>
      <c r="I230">
        <v>20093</v>
      </c>
      <c r="J230" t="s">
        <v>28</v>
      </c>
      <c r="K230" t="s">
        <v>22</v>
      </c>
      <c r="L230">
        <f>Table1[[#This Row],[Discharge_Date]]-Table1[[#This Row],[Admission_Date]]</f>
        <v>9</v>
      </c>
      <c r="M230" t="str">
        <f>IF(Table1[[#This Row],[Treatment_Cost]]&gt;50000,"High","Standard")</f>
        <v>Standard</v>
      </c>
    </row>
    <row r="231" spans="1:13" x14ac:dyDescent="0.35">
      <c r="A231" t="s">
        <v>262</v>
      </c>
      <c r="B231">
        <v>71</v>
      </c>
      <c r="C231" t="s">
        <v>24</v>
      </c>
      <c r="D231" s="1">
        <v>45752</v>
      </c>
      <c r="E231" s="1">
        <v>45754</v>
      </c>
      <c r="F231" t="s">
        <v>48</v>
      </c>
      <c r="G231" t="s">
        <v>26</v>
      </c>
      <c r="H231" t="s">
        <v>21</v>
      </c>
      <c r="I231">
        <v>51163</v>
      </c>
      <c r="J231" t="s">
        <v>28</v>
      </c>
      <c r="K231" t="s">
        <v>17</v>
      </c>
      <c r="L231">
        <f>Table1[[#This Row],[Discharge_Date]]-Table1[[#This Row],[Admission_Date]]</f>
        <v>2</v>
      </c>
      <c r="M231" t="str">
        <f>IF(Table1[[#This Row],[Treatment_Cost]]&gt;50000,"High","Standard")</f>
        <v>High</v>
      </c>
    </row>
    <row r="232" spans="1:13" x14ac:dyDescent="0.35">
      <c r="A232" t="s">
        <v>263</v>
      </c>
      <c r="B232">
        <v>33</v>
      </c>
      <c r="C232" t="s">
        <v>12</v>
      </c>
      <c r="D232" s="1">
        <v>45946</v>
      </c>
      <c r="E232" s="1">
        <v>45954</v>
      </c>
      <c r="F232" t="s">
        <v>13</v>
      </c>
      <c r="G232" t="s">
        <v>14</v>
      </c>
      <c r="H232" t="s">
        <v>34</v>
      </c>
      <c r="I232">
        <v>90126</v>
      </c>
      <c r="J232" t="s">
        <v>16</v>
      </c>
      <c r="K232" t="s">
        <v>29</v>
      </c>
      <c r="L232">
        <f>Table1[[#This Row],[Discharge_Date]]-Table1[[#This Row],[Admission_Date]]</f>
        <v>8</v>
      </c>
      <c r="M232" t="str">
        <f>IF(Table1[[#This Row],[Treatment_Cost]]&gt;50000,"High","Standard")</f>
        <v>High</v>
      </c>
    </row>
    <row r="233" spans="1:13" x14ac:dyDescent="0.35">
      <c r="A233" t="s">
        <v>264</v>
      </c>
      <c r="B233">
        <v>59</v>
      </c>
      <c r="C233" t="s">
        <v>12</v>
      </c>
      <c r="D233" s="1">
        <v>45740</v>
      </c>
      <c r="E233" s="1">
        <v>45747</v>
      </c>
      <c r="F233" t="s">
        <v>13</v>
      </c>
      <c r="G233" t="s">
        <v>26</v>
      </c>
      <c r="H233" t="s">
        <v>15</v>
      </c>
      <c r="I233">
        <v>42582</v>
      </c>
      <c r="J233" t="s">
        <v>16</v>
      </c>
      <c r="K233" t="s">
        <v>22</v>
      </c>
      <c r="L233">
        <f>Table1[[#This Row],[Discharge_Date]]-Table1[[#This Row],[Admission_Date]]</f>
        <v>7</v>
      </c>
      <c r="M233" t="str">
        <f>IF(Table1[[#This Row],[Treatment_Cost]]&gt;50000,"High","Standard")</f>
        <v>Standard</v>
      </c>
    </row>
    <row r="234" spans="1:13" x14ac:dyDescent="0.35">
      <c r="A234" t="s">
        <v>265</v>
      </c>
      <c r="B234">
        <v>30</v>
      </c>
      <c r="C234" t="s">
        <v>24</v>
      </c>
      <c r="D234" s="1">
        <v>45674</v>
      </c>
      <c r="E234" s="1">
        <v>45681</v>
      </c>
      <c r="F234" t="s">
        <v>19</v>
      </c>
      <c r="G234" t="s">
        <v>26</v>
      </c>
      <c r="H234" t="s">
        <v>31</v>
      </c>
      <c r="I234">
        <v>80040</v>
      </c>
      <c r="J234" t="s">
        <v>28</v>
      </c>
      <c r="K234" t="s">
        <v>29</v>
      </c>
      <c r="L234">
        <f>Table1[[#This Row],[Discharge_Date]]-Table1[[#This Row],[Admission_Date]]</f>
        <v>7</v>
      </c>
      <c r="M234" t="str">
        <f>IF(Table1[[#This Row],[Treatment_Cost]]&gt;50000,"High","Standard")</f>
        <v>High</v>
      </c>
    </row>
    <row r="235" spans="1:13" x14ac:dyDescent="0.35">
      <c r="A235" t="s">
        <v>266</v>
      </c>
      <c r="B235">
        <v>32</v>
      </c>
      <c r="C235" t="s">
        <v>24</v>
      </c>
      <c r="D235" s="1">
        <v>45696</v>
      </c>
      <c r="E235" s="1">
        <v>45698</v>
      </c>
      <c r="F235" t="s">
        <v>48</v>
      </c>
      <c r="G235" t="s">
        <v>14</v>
      </c>
      <c r="H235" t="s">
        <v>15</v>
      </c>
      <c r="I235">
        <v>80844</v>
      </c>
      <c r="J235" t="s">
        <v>16</v>
      </c>
      <c r="K235" t="s">
        <v>29</v>
      </c>
      <c r="L235">
        <f>Table1[[#This Row],[Discharge_Date]]-Table1[[#This Row],[Admission_Date]]</f>
        <v>2</v>
      </c>
      <c r="M235" t="str">
        <f>IF(Table1[[#This Row],[Treatment_Cost]]&gt;50000,"High","Standard")</f>
        <v>High</v>
      </c>
    </row>
    <row r="236" spans="1:13" x14ac:dyDescent="0.35">
      <c r="A236" t="s">
        <v>267</v>
      </c>
      <c r="B236">
        <v>21</v>
      </c>
      <c r="C236" t="s">
        <v>12</v>
      </c>
      <c r="D236" s="1">
        <v>45935</v>
      </c>
      <c r="E236" s="1">
        <v>45941</v>
      </c>
      <c r="F236" t="s">
        <v>25</v>
      </c>
      <c r="G236" t="s">
        <v>20</v>
      </c>
      <c r="H236" t="s">
        <v>27</v>
      </c>
      <c r="I236">
        <v>49887</v>
      </c>
      <c r="J236" t="s">
        <v>28</v>
      </c>
      <c r="K236" t="s">
        <v>22</v>
      </c>
      <c r="L236">
        <f>Table1[[#This Row],[Discharge_Date]]-Table1[[#This Row],[Admission_Date]]</f>
        <v>6</v>
      </c>
      <c r="M236" t="str">
        <f>IF(Table1[[#This Row],[Treatment_Cost]]&gt;50000,"High","Standard")</f>
        <v>Standard</v>
      </c>
    </row>
    <row r="237" spans="1:13" x14ac:dyDescent="0.35">
      <c r="A237" t="s">
        <v>268</v>
      </c>
      <c r="B237">
        <v>49</v>
      </c>
      <c r="C237" t="s">
        <v>24</v>
      </c>
      <c r="D237" s="1">
        <v>45811</v>
      </c>
      <c r="E237" s="1">
        <v>45818</v>
      </c>
      <c r="F237" t="s">
        <v>13</v>
      </c>
      <c r="G237" t="s">
        <v>14</v>
      </c>
      <c r="H237" t="s">
        <v>27</v>
      </c>
      <c r="I237">
        <v>59668</v>
      </c>
      <c r="J237" t="s">
        <v>28</v>
      </c>
      <c r="K237" t="s">
        <v>29</v>
      </c>
      <c r="L237">
        <f>Table1[[#This Row],[Discharge_Date]]-Table1[[#This Row],[Admission_Date]]</f>
        <v>7</v>
      </c>
      <c r="M237" t="str">
        <f>IF(Table1[[#This Row],[Treatment_Cost]]&gt;50000,"High","Standard")</f>
        <v>High</v>
      </c>
    </row>
    <row r="238" spans="1:13" x14ac:dyDescent="0.35">
      <c r="A238" t="s">
        <v>269</v>
      </c>
      <c r="B238">
        <v>48</v>
      </c>
      <c r="C238" t="s">
        <v>24</v>
      </c>
      <c r="D238" s="1">
        <v>45818</v>
      </c>
      <c r="E238" s="1">
        <v>45827</v>
      </c>
      <c r="F238" t="s">
        <v>19</v>
      </c>
      <c r="G238" t="s">
        <v>40</v>
      </c>
      <c r="H238" t="s">
        <v>31</v>
      </c>
      <c r="I238">
        <v>39534</v>
      </c>
      <c r="J238" t="s">
        <v>16</v>
      </c>
      <c r="K238" t="s">
        <v>22</v>
      </c>
      <c r="L238">
        <f>Table1[[#This Row],[Discharge_Date]]-Table1[[#This Row],[Admission_Date]]</f>
        <v>9</v>
      </c>
      <c r="M238" t="str">
        <f>IF(Table1[[#This Row],[Treatment_Cost]]&gt;50000,"High","Standard")</f>
        <v>Standard</v>
      </c>
    </row>
    <row r="239" spans="1:13" x14ac:dyDescent="0.35">
      <c r="A239" t="s">
        <v>270</v>
      </c>
      <c r="B239">
        <v>59</v>
      </c>
      <c r="C239" t="s">
        <v>12</v>
      </c>
      <c r="D239" s="1">
        <v>45886</v>
      </c>
      <c r="E239" s="1">
        <v>45891</v>
      </c>
      <c r="F239" t="s">
        <v>36</v>
      </c>
      <c r="G239" t="s">
        <v>14</v>
      </c>
      <c r="H239" t="s">
        <v>27</v>
      </c>
      <c r="I239">
        <v>38337</v>
      </c>
      <c r="J239" t="s">
        <v>28</v>
      </c>
      <c r="K239" t="s">
        <v>17</v>
      </c>
      <c r="L239">
        <f>Table1[[#This Row],[Discharge_Date]]-Table1[[#This Row],[Admission_Date]]</f>
        <v>5</v>
      </c>
      <c r="M239" t="str">
        <f>IF(Table1[[#This Row],[Treatment_Cost]]&gt;50000,"High","Standard")</f>
        <v>Standard</v>
      </c>
    </row>
    <row r="240" spans="1:13" x14ac:dyDescent="0.35">
      <c r="A240" t="s">
        <v>271</v>
      </c>
      <c r="B240">
        <v>57</v>
      </c>
      <c r="C240" t="s">
        <v>24</v>
      </c>
      <c r="D240" s="1">
        <v>46022</v>
      </c>
      <c r="E240" s="1">
        <v>46024</v>
      </c>
      <c r="F240" t="s">
        <v>36</v>
      </c>
      <c r="G240" t="s">
        <v>26</v>
      </c>
      <c r="H240" t="s">
        <v>15</v>
      </c>
      <c r="I240">
        <v>79065</v>
      </c>
      <c r="J240" t="s">
        <v>16</v>
      </c>
      <c r="K240" t="s">
        <v>17</v>
      </c>
      <c r="L240">
        <f>Table1[[#This Row],[Discharge_Date]]-Table1[[#This Row],[Admission_Date]]</f>
        <v>2</v>
      </c>
      <c r="M240" t="str">
        <f>IF(Table1[[#This Row],[Treatment_Cost]]&gt;50000,"High","Standard")</f>
        <v>High</v>
      </c>
    </row>
    <row r="241" spans="1:13" x14ac:dyDescent="0.35">
      <c r="A241" t="s">
        <v>272</v>
      </c>
      <c r="B241">
        <v>60</v>
      </c>
      <c r="C241" t="s">
        <v>12</v>
      </c>
      <c r="D241" s="1">
        <v>45805</v>
      </c>
      <c r="E241" s="1">
        <v>45808</v>
      </c>
      <c r="F241" t="s">
        <v>48</v>
      </c>
      <c r="G241" t="s">
        <v>26</v>
      </c>
      <c r="H241" t="s">
        <v>34</v>
      </c>
      <c r="I241">
        <v>74845</v>
      </c>
      <c r="J241" t="s">
        <v>16</v>
      </c>
      <c r="K241" t="s">
        <v>22</v>
      </c>
      <c r="L241">
        <f>Table1[[#This Row],[Discharge_Date]]-Table1[[#This Row],[Admission_Date]]</f>
        <v>3</v>
      </c>
      <c r="M241" t="str">
        <f>IF(Table1[[#This Row],[Treatment_Cost]]&gt;50000,"High","Standard")</f>
        <v>High</v>
      </c>
    </row>
    <row r="242" spans="1:13" x14ac:dyDescent="0.35">
      <c r="A242" t="s">
        <v>273</v>
      </c>
      <c r="B242">
        <v>32</v>
      </c>
      <c r="C242" t="s">
        <v>12</v>
      </c>
      <c r="D242" s="1">
        <v>46016</v>
      </c>
      <c r="E242" s="1">
        <v>46024</v>
      </c>
      <c r="F242" t="s">
        <v>48</v>
      </c>
      <c r="G242" t="s">
        <v>33</v>
      </c>
      <c r="H242" t="s">
        <v>15</v>
      </c>
      <c r="I242">
        <v>13688</v>
      </c>
      <c r="J242" t="s">
        <v>28</v>
      </c>
      <c r="K242" t="s">
        <v>29</v>
      </c>
      <c r="L242">
        <f>Table1[[#This Row],[Discharge_Date]]-Table1[[#This Row],[Admission_Date]]</f>
        <v>8</v>
      </c>
      <c r="M242" t="str">
        <f>IF(Table1[[#This Row],[Treatment_Cost]]&gt;50000,"High","Standard")</f>
        <v>Standard</v>
      </c>
    </row>
    <row r="243" spans="1:13" x14ac:dyDescent="0.35">
      <c r="A243" t="s">
        <v>274</v>
      </c>
      <c r="B243">
        <v>80</v>
      </c>
      <c r="C243" t="s">
        <v>12</v>
      </c>
      <c r="D243" s="1">
        <v>45969</v>
      </c>
      <c r="E243" s="1">
        <v>45978</v>
      </c>
      <c r="F243" t="s">
        <v>13</v>
      </c>
      <c r="G243" t="s">
        <v>26</v>
      </c>
      <c r="H243" t="s">
        <v>15</v>
      </c>
      <c r="I243">
        <v>59720</v>
      </c>
      <c r="J243" t="s">
        <v>28</v>
      </c>
      <c r="K243" t="s">
        <v>17</v>
      </c>
      <c r="L243">
        <f>Table1[[#This Row],[Discharge_Date]]-Table1[[#This Row],[Admission_Date]]</f>
        <v>9</v>
      </c>
      <c r="M243" t="str">
        <f>IF(Table1[[#This Row],[Treatment_Cost]]&gt;50000,"High","Standard")</f>
        <v>High</v>
      </c>
    </row>
    <row r="244" spans="1:13" x14ac:dyDescent="0.35">
      <c r="A244" t="s">
        <v>275</v>
      </c>
      <c r="B244">
        <v>70</v>
      </c>
      <c r="C244" t="s">
        <v>12</v>
      </c>
      <c r="D244" s="1">
        <v>45758</v>
      </c>
      <c r="E244" s="1">
        <v>45760</v>
      </c>
      <c r="F244" t="s">
        <v>36</v>
      </c>
      <c r="G244" t="s">
        <v>14</v>
      </c>
      <c r="H244" t="s">
        <v>27</v>
      </c>
      <c r="I244">
        <v>32049</v>
      </c>
      <c r="J244" t="s">
        <v>28</v>
      </c>
      <c r="K244" t="s">
        <v>22</v>
      </c>
      <c r="L244">
        <f>Table1[[#This Row],[Discharge_Date]]-Table1[[#This Row],[Admission_Date]]</f>
        <v>2</v>
      </c>
      <c r="M244" t="str">
        <f>IF(Table1[[#This Row],[Treatment_Cost]]&gt;50000,"High","Standard")</f>
        <v>Standard</v>
      </c>
    </row>
    <row r="245" spans="1:13" x14ac:dyDescent="0.35">
      <c r="A245" t="s">
        <v>276</v>
      </c>
      <c r="B245">
        <v>51</v>
      </c>
      <c r="C245" t="s">
        <v>24</v>
      </c>
      <c r="D245" s="1">
        <v>45824</v>
      </c>
      <c r="E245" s="1">
        <v>45829</v>
      </c>
      <c r="F245" t="s">
        <v>13</v>
      </c>
      <c r="G245" t="s">
        <v>20</v>
      </c>
      <c r="H245" t="s">
        <v>15</v>
      </c>
      <c r="I245">
        <v>99824</v>
      </c>
      <c r="J245" t="s">
        <v>16</v>
      </c>
      <c r="K245" t="s">
        <v>22</v>
      </c>
      <c r="L245">
        <f>Table1[[#This Row],[Discharge_Date]]-Table1[[#This Row],[Admission_Date]]</f>
        <v>5</v>
      </c>
      <c r="M245" t="str">
        <f>IF(Table1[[#This Row],[Treatment_Cost]]&gt;50000,"High","Standard")</f>
        <v>High</v>
      </c>
    </row>
    <row r="246" spans="1:13" x14ac:dyDescent="0.35">
      <c r="A246" t="s">
        <v>277</v>
      </c>
      <c r="B246">
        <v>45</v>
      </c>
      <c r="C246" t="s">
        <v>24</v>
      </c>
      <c r="D246" s="1">
        <v>45884</v>
      </c>
      <c r="E246" s="1">
        <v>45888</v>
      </c>
      <c r="F246" t="s">
        <v>25</v>
      </c>
      <c r="G246" t="s">
        <v>40</v>
      </c>
      <c r="H246" t="s">
        <v>34</v>
      </c>
      <c r="I246">
        <v>83664</v>
      </c>
      <c r="J246" t="s">
        <v>16</v>
      </c>
      <c r="K246" t="s">
        <v>29</v>
      </c>
      <c r="L246">
        <f>Table1[[#This Row],[Discharge_Date]]-Table1[[#This Row],[Admission_Date]]</f>
        <v>4</v>
      </c>
      <c r="M246" t="str">
        <f>IF(Table1[[#This Row],[Treatment_Cost]]&gt;50000,"High","Standard")</f>
        <v>High</v>
      </c>
    </row>
    <row r="247" spans="1:13" x14ac:dyDescent="0.35">
      <c r="A247" t="s">
        <v>278</v>
      </c>
      <c r="B247">
        <v>40</v>
      </c>
      <c r="C247" t="s">
        <v>24</v>
      </c>
      <c r="D247" s="1">
        <v>45734</v>
      </c>
      <c r="E247" s="1">
        <v>45736</v>
      </c>
      <c r="F247" t="s">
        <v>19</v>
      </c>
      <c r="G247" t="s">
        <v>26</v>
      </c>
      <c r="H247" t="s">
        <v>34</v>
      </c>
      <c r="I247">
        <v>87200</v>
      </c>
      <c r="J247" t="s">
        <v>16</v>
      </c>
      <c r="K247" t="s">
        <v>22</v>
      </c>
      <c r="L247">
        <f>Table1[[#This Row],[Discharge_Date]]-Table1[[#This Row],[Admission_Date]]</f>
        <v>2</v>
      </c>
      <c r="M247" t="str">
        <f>IF(Table1[[#This Row],[Treatment_Cost]]&gt;50000,"High","Standard")</f>
        <v>High</v>
      </c>
    </row>
    <row r="248" spans="1:13" x14ac:dyDescent="0.35">
      <c r="A248" t="s">
        <v>279</v>
      </c>
      <c r="B248">
        <v>68</v>
      </c>
      <c r="C248" t="s">
        <v>12</v>
      </c>
      <c r="D248" s="1">
        <v>45965</v>
      </c>
      <c r="E248" s="1">
        <v>45974</v>
      </c>
      <c r="F248" t="s">
        <v>25</v>
      </c>
      <c r="G248" t="s">
        <v>33</v>
      </c>
      <c r="H248" t="s">
        <v>31</v>
      </c>
      <c r="I248">
        <v>47919</v>
      </c>
      <c r="J248" t="s">
        <v>28</v>
      </c>
      <c r="K248" t="s">
        <v>29</v>
      </c>
      <c r="L248">
        <f>Table1[[#This Row],[Discharge_Date]]-Table1[[#This Row],[Admission_Date]]</f>
        <v>9</v>
      </c>
      <c r="M248" t="str">
        <f>IF(Table1[[#This Row],[Treatment_Cost]]&gt;50000,"High","Standard")</f>
        <v>Standard</v>
      </c>
    </row>
    <row r="249" spans="1:13" x14ac:dyDescent="0.35">
      <c r="A249" t="s">
        <v>280</v>
      </c>
      <c r="B249">
        <v>20</v>
      </c>
      <c r="C249" t="s">
        <v>12</v>
      </c>
      <c r="D249" s="1">
        <v>45852</v>
      </c>
      <c r="E249" s="1">
        <v>45857</v>
      </c>
      <c r="F249" t="s">
        <v>19</v>
      </c>
      <c r="G249" t="s">
        <v>40</v>
      </c>
      <c r="H249" t="s">
        <v>21</v>
      </c>
      <c r="I249">
        <v>67800</v>
      </c>
      <c r="J249" t="s">
        <v>28</v>
      </c>
      <c r="K249" t="s">
        <v>29</v>
      </c>
      <c r="L249">
        <f>Table1[[#This Row],[Discharge_Date]]-Table1[[#This Row],[Admission_Date]]</f>
        <v>5</v>
      </c>
      <c r="M249" t="str">
        <f>IF(Table1[[#This Row],[Treatment_Cost]]&gt;50000,"High","Standard")</f>
        <v>High</v>
      </c>
    </row>
    <row r="250" spans="1:13" x14ac:dyDescent="0.35">
      <c r="A250" t="s">
        <v>281</v>
      </c>
      <c r="B250">
        <v>59</v>
      </c>
      <c r="C250" t="s">
        <v>12</v>
      </c>
      <c r="D250" s="1">
        <v>45995</v>
      </c>
      <c r="E250" s="1">
        <v>46005</v>
      </c>
      <c r="F250" t="s">
        <v>36</v>
      </c>
      <c r="G250" t="s">
        <v>40</v>
      </c>
      <c r="H250" t="s">
        <v>27</v>
      </c>
      <c r="I250">
        <v>42823</v>
      </c>
      <c r="J250" t="s">
        <v>16</v>
      </c>
      <c r="K250" t="s">
        <v>17</v>
      </c>
      <c r="L250">
        <f>Table1[[#This Row],[Discharge_Date]]-Table1[[#This Row],[Admission_Date]]</f>
        <v>10</v>
      </c>
      <c r="M250" t="str">
        <f>IF(Table1[[#This Row],[Treatment_Cost]]&gt;50000,"High","Standard")</f>
        <v>Standard</v>
      </c>
    </row>
    <row r="251" spans="1:13" x14ac:dyDescent="0.35">
      <c r="A251" t="s">
        <v>282</v>
      </c>
      <c r="B251">
        <v>20</v>
      </c>
      <c r="C251" t="s">
        <v>12</v>
      </c>
      <c r="D251" s="1">
        <v>45758</v>
      </c>
      <c r="E251" s="1">
        <v>45762</v>
      </c>
      <c r="F251" t="s">
        <v>48</v>
      </c>
      <c r="G251" t="s">
        <v>20</v>
      </c>
      <c r="H251" t="s">
        <v>15</v>
      </c>
      <c r="I251">
        <v>38130</v>
      </c>
      <c r="J251" t="s">
        <v>28</v>
      </c>
      <c r="K251" t="s">
        <v>17</v>
      </c>
      <c r="L251">
        <f>Table1[[#This Row],[Discharge_Date]]-Table1[[#This Row],[Admission_Date]]</f>
        <v>4</v>
      </c>
      <c r="M251" t="str">
        <f>IF(Table1[[#This Row],[Treatment_Cost]]&gt;50000,"High","Standard")</f>
        <v>Standard</v>
      </c>
    </row>
    <row r="252" spans="1:13" x14ac:dyDescent="0.35">
      <c r="A252" t="s">
        <v>283</v>
      </c>
      <c r="B252">
        <v>34</v>
      </c>
      <c r="C252" t="s">
        <v>24</v>
      </c>
      <c r="D252" s="1">
        <v>45811</v>
      </c>
      <c r="E252" s="1">
        <v>45820</v>
      </c>
      <c r="F252" t="s">
        <v>13</v>
      </c>
      <c r="G252" t="s">
        <v>33</v>
      </c>
      <c r="H252" t="s">
        <v>34</v>
      </c>
      <c r="I252">
        <v>66670</v>
      </c>
      <c r="J252" t="s">
        <v>16</v>
      </c>
      <c r="K252" t="s">
        <v>22</v>
      </c>
      <c r="L252">
        <f>Table1[[#This Row],[Discharge_Date]]-Table1[[#This Row],[Admission_Date]]</f>
        <v>9</v>
      </c>
      <c r="M252" t="str">
        <f>IF(Table1[[#This Row],[Treatment_Cost]]&gt;50000,"High","Standard")</f>
        <v>High</v>
      </c>
    </row>
    <row r="253" spans="1:13" x14ac:dyDescent="0.35">
      <c r="A253" t="s">
        <v>284</v>
      </c>
      <c r="B253">
        <v>62</v>
      </c>
      <c r="C253" t="s">
        <v>12</v>
      </c>
      <c r="D253" s="1">
        <v>45688</v>
      </c>
      <c r="E253" s="1">
        <v>45689</v>
      </c>
      <c r="F253" t="s">
        <v>13</v>
      </c>
      <c r="G253" t="s">
        <v>40</v>
      </c>
      <c r="H253" t="s">
        <v>21</v>
      </c>
      <c r="I253">
        <v>21601</v>
      </c>
      <c r="J253" t="s">
        <v>16</v>
      </c>
      <c r="K253" t="s">
        <v>29</v>
      </c>
      <c r="L253">
        <f>Table1[[#This Row],[Discharge_Date]]-Table1[[#This Row],[Admission_Date]]</f>
        <v>1</v>
      </c>
      <c r="M253" t="str">
        <f>IF(Table1[[#This Row],[Treatment_Cost]]&gt;50000,"High","Standard")</f>
        <v>Standard</v>
      </c>
    </row>
    <row r="254" spans="1:13" x14ac:dyDescent="0.35">
      <c r="A254" t="s">
        <v>285</v>
      </c>
      <c r="B254">
        <v>22</v>
      </c>
      <c r="C254" t="s">
        <v>12</v>
      </c>
      <c r="D254" s="1">
        <v>45852</v>
      </c>
      <c r="E254" s="1">
        <v>45853</v>
      </c>
      <c r="F254" t="s">
        <v>13</v>
      </c>
      <c r="G254" t="s">
        <v>33</v>
      </c>
      <c r="H254" t="s">
        <v>27</v>
      </c>
      <c r="I254">
        <v>98968</v>
      </c>
      <c r="J254" t="s">
        <v>28</v>
      </c>
      <c r="K254" t="s">
        <v>22</v>
      </c>
      <c r="L254">
        <f>Table1[[#This Row],[Discharge_Date]]-Table1[[#This Row],[Admission_Date]]</f>
        <v>1</v>
      </c>
      <c r="M254" t="str">
        <f>IF(Table1[[#This Row],[Treatment_Cost]]&gt;50000,"High","Standard")</f>
        <v>High</v>
      </c>
    </row>
    <row r="255" spans="1:13" x14ac:dyDescent="0.35">
      <c r="A255" t="s">
        <v>286</v>
      </c>
      <c r="B255">
        <v>54</v>
      </c>
      <c r="C255" t="s">
        <v>24</v>
      </c>
      <c r="D255" s="1">
        <v>45885</v>
      </c>
      <c r="E255" s="1">
        <v>45888</v>
      </c>
      <c r="F255" t="s">
        <v>13</v>
      </c>
      <c r="G255" t="s">
        <v>40</v>
      </c>
      <c r="H255" t="s">
        <v>15</v>
      </c>
      <c r="I255">
        <v>79831</v>
      </c>
      <c r="J255" t="s">
        <v>28</v>
      </c>
      <c r="K255" t="s">
        <v>22</v>
      </c>
      <c r="L255">
        <f>Table1[[#This Row],[Discharge_Date]]-Table1[[#This Row],[Admission_Date]]</f>
        <v>3</v>
      </c>
      <c r="M255" t="str">
        <f>IF(Table1[[#This Row],[Treatment_Cost]]&gt;50000,"High","Standard")</f>
        <v>High</v>
      </c>
    </row>
    <row r="256" spans="1:13" x14ac:dyDescent="0.35">
      <c r="A256" t="s">
        <v>287</v>
      </c>
      <c r="B256">
        <v>33</v>
      </c>
      <c r="C256" t="s">
        <v>24</v>
      </c>
      <c r="D256" s="1">
        <v>45739</v>
      </c>
      <c r="E256" s="1">
        <v>45746</v>
      </c>
      <c r="F256" t="s">
        <v>48</v>
      </c>
      <c r="G256" t="s">
        <v>40</v>
      </c>
      <c r="H256" t="s">
        <v>31</v>
      </c>
      <c r="I256">
        <v>53433</v>
      </c>
      <c r="J256" t="s">
        <v>16</v>
      </c>
      <c r="K256" t="s">
        <v>22</v>
      </c>
      <c r="L256">
        <f>Table1[[#This Row],[Discharge_Date]]-Table1[[#This Row],[Admission_Date]]</f>
        <v>7</v>
      </c>
      <c r="M256" t="str">
        <f>IF(Table1[[#This Row],[Treatment_Cost]]&gt;50000,"High","Standard")</f>
        <v>High</v>
      </c>
    </row>
    <row r="257" spans="1:13" x14ac:dyDescent="0.35">
      <c r="A257" t="s">
        <v>288</v>
      </c>
      <c r="B257">
        <v>72</v>
      </c>
      <c r="C257" t="s">
        <v>24</v>
      </c>
      <c r="D257" s="1">
        <v>46011</v>
      </c>
      <c r="E257" s="1">
        <v>46012</v>
      </c>
      <c r="F257" t="s">
        <v>13</v>
      </c>
      <c r="G257" t="s">
        <v>14</v>
      </c>
      <c r="H257" t="s">
        <v>34</v>
      </c>
      <c r="I257">
        <v>75428</v>
      </c>
      <c r="J257" t="s">
        <v>16</v>
      </c>
      <c r="K257" t="s">
        <v>29</v>
      </c>
      <c r="L257">
        <f>Table1[[#This Row],[Discharge_Date]]-Table1[[#This Row],[Admission_Date]]</f>
        <v>1</v>
      </c>
      <c r="M257" t="str">
        <f>IF(Table1[[#This Row],[Treatment_Cost]]&gt;50000,"High","Standard")</f>
        <v>High</v>
      </c>
    </row>
    <row r="258" spans="1:13" x14ac:dyDescent="0.35">
      <c r="A258" t="s">
        <v>289</v>
      </c>
      <c r="B258">
        <v>68</v>
      </c>
      <c r="C258" t="s">
        <v>12</v>
      </c>
      <c r="D258" s="1">
        <v>45856</v>
      </c>
      <c r="E258" s="1">
        <v>45859</v>
      </c>
      <c r="F258" t="s">
        <v>25</v>
      </c>
      <c r="G258" t="s">
        <v>20</v>
      </c>
      <c r="H258" t="s">
        <v>27</v>
      </c>
      <c r="I258">
        <v>56020</v>
      </c>
      <c r="J258" t="s">
        <v>16</v>
      </c>
      <c r="K258" t="s">
        <v>17</v>
      </c>
      <c r="L258">
        <f>Table1[[#This Row],[Discharge_Date]]-Table1[[#This Row],[Admission_Date]]</f>
        <v>3</v>
      </c>
      <c r="M258" t="str">
        <f>IF(Table1[[#This Row],[Treatment_Cost]]&gt;50000,"High","Standard")</f>
        <v>High</v>
      </c>
    </row>
    <row r="259" spans="1:13" x14ac:dyDescent="0.35">
      <c r="A259" t="s">
        <v>290</v>
      </c>
      <c r="B259">
        <v>68</v>
      </c>
      <c r="C259" t="s">
        <v>12</v>
      </c>
      <c r="D259" s="1">
        <v>45885</v>
      </c>
      <c r="E259" s="1">
        <v>45893</v>
      </c>
      <c r="F259" t="s">
        <v>13</v>
      </c>
      <c r="G259" t="s">
        <v>40</v>
      </c>
      <c r="H259" t="s">
        <v>27</v>
      </c>
      <c r="I259">
        <v>64218</v>
      </c>
      <c r="J259" t="s">
        <v>16</v>
      </c>
      <c r="K259" t="s">
        <v>29</v>
      </c>
      <c r="L259">
        <f>Table1[[#This Row],[Discharge_Date]]-Table1[[#This Row],[Admission_Date]]</f>
        <v>8</v>
      </c>
      <c r="M259" t="str">
        <f>IF(Table1[[#This Row],[Treatment_Cost]]&gt;50000,"High","Standard")</f>
        <v>High</v>
      </c>
    </row>
    <row r="260" spans="1:13" x14ac:dyDescent="0.35">
      <c r="A260" t="s">
        <v>291</v>
      </c>
      <c r="B260">
        <v>71</v>
      </c>
      <c r="C260" t="s">
        <v>24</v>
      </c>
      <c r="D260" s="1">
        <v>45710</v>
      </c>
      <c r="E260" s="1">
        <v>45720</v>
      </c>
      <c r="F260" t="s">
        <v>48</v>
      </c>
      <c r="G260" t="s">
        <v>40</v>
      </c>
      <c r="H260" t="s">
        <v>21</v>
      </c>
      <c r="I260">
        <v>54653</v>
      </c>
      <c r="J260" t="s">
        <v>28</v>
      </c>
      <c r="K260" t="s">
        <v>29</v>
      </c>
      <c r="L260">
        <f>Table1[[#This Row],[Discharge_Date]]-Table1[[#This Row],[Admission_Date]]</f>
        <v>10</v>
      </c>
      <c r="M260" t="str">
        <f>IF(Table1[[#This Row],[Treatment_Cost]]&gt;50000,"High","Standard")</f>
        <v>High</v>
      </c>
    </row>
    <row r="261" spans="1:13" x14ac:dyDescent="0.35">
      <c r="A261" t="s">
        <v>292</v>
      </c>
      <c r="B261">
        <v>44</v>
      </c>
      <c r="C261" t="s">
        <v>12</v>
      </c>
      <c r="D261" s="1">
        <v>45869</v>
      </c>
      <c r="E261" s="1">
        <v>45876</v>
      </c>
      <c r="F261" t="s">
        <v>25</v>
      </c>
      <c r="G261" t="s">
        <v>33</v>
      </c>
      <c r="H261" t="s">
        <v>27</v>
      </c>
      <c r="I261">
        <v>61074</v>
      </c>
      <c r="J261" t="s">
        <v>16</v>
      </c>
      <c r="K261" t="s">
        <v>29</v>
      </c>
      <c r="L261">
        <f>Table1[[#This Row],[Discharge_Date]]-Table1[[#This Row],[Admission_Date]]</f>
        <v>7</v>
      </c>
      <c r="M261" t="str">
        <f>IF(Table1[[#This Row],[Treatment_Cost]]&gt;50000,"High","Standard")</f>
        <v>High</v>
      </c>
    </row>
    <row r="262" spans="1:13" x14ac:dyDescent="0.35">
      <c r="A262" t="s">
        <v>293</v>
      </c>
      <c r="B262">
        <v>31</v>
      </c>
      <c r="C262" t="s">
        <v>12</v>
      </c>
      <c r="D262" s="1">
        <v>45980</v>
      </c>
      <c r="E262" s="1">
        <v>45988</v>
      </c>
      <c r="F262" t="s">
        <v>13</v>
      </c>
      <c r="G262" t="s">
        <v>20</v>
      </c>
      <c r="H262" t="s">
        <v>34</v>
      </c>
      <c r="I262">
        <v>84685</v>
      </c>
      <c r="J262" t="s">
        <v>28</v>
      </c>
      <c r="K262" t="s">
        <v>29</v>
      </c>
      <c r="L262">
        <f>Table1[[#This Row],[Discharge_Date]]-Table1[[#This Row],[Admission_Date]]</f>
        <v>8</v>
      </c>
      <c r="M262" t="str">
        <f>IF(Table1[[#This Row],[Treatment_Cost]]&gt;50000,"High","Standard")</f>
        <v>High</v>
      </c>
    </row>
    <row r="263" spans="1:13" x14ac:dyDescent="0.35">
      <c r="A263" t="s">
        <v>294</v>
      </c>
      <c r="B263">
        <v>49</v>
      </c>
      <c r="C263" t="s">
        <v>12</v>
      </c>
      <c r="D263" s="1">
        <v>45984</v>
      </c>
      <c r="E263" s="1">
        <v>45985</v>
      </c>
      <c r="F263" t="s">
        <v>19</v>
      </c>
      <c r="G263" t="s">
        <v>26</v>
      </c>
      <c r="H263" t="s">
        <v>27</v>
      </c>
      <c r="I263">
        <v>55123</v>
      </c>
      <c r="J263" t="s">
        <v>28</v>
      </c>
      <c r="K263" t="s">
        <v>22</v>
      </c>
      <c r="L263">
        <f>Table1[[#This Row],[Discharge_Date]]-Table1[[#This Row],[Admission_Date]]</f>
        <v>1</v>
      </c>
      <c r="M263" t="str">
        <f>IF(Table1[[#This Row],[Treatment_Cost]]&gt;50000,"High","Standard")</f>
        <v>High</v>
      </c>
    </row>
    <row r="264" spans="1:13" x14ac:dyDescent="0.35">
      <c r="A264" t="s">
        <v>295</v>
      </c>
      <c r="B264">
        <v>36</v>
      </c>
      <c r="C264" t="s">
        <v>12</v>
      </c>
      <c r="D264" s="1">
        <v>45801</v>
      </c>
      <c r="E264" s="1">
        <v>45807</v>
      </c>
      <c r="F264" t="s">
        <v>48</v>
      </c>
      <c r="G264" t="s">
        <v>20</v>
      </c>
      <c r="H264" t="s">
        <v>15</v>
      </c>
      <c r="I264">
        <v>73723</v>
      </c>
      <c r="J264" t="s">
        <v>16</v>
      </c>
      <c r="K264" t="s">
        <v>22</v>
      </c>
      <c r="L264">
        <f>Table1[[#This Row],[Discharge_Date]]-Table1[[#This Row],[Admission_Date]]</f>
        <v>6</v>
      </c>
      <c r="M264" t="str">
        <f>IF(Table1[[#This Row],[Treatment_Cost]]&gt;50000,"High","Standard")</f>
        <v>High</v>
      </c>
    </row>
    <row r="265" spans="1:13" x14ac:dyDescent="0.35">
      <c r="A265" t="s">
        <v>296</v>
      </c>
      <c r="B265">
        <v>41</v>
      </c>
      <c r="C265" t="s">
        <v>12</v>
      </c>
      <c r="D265" s="1">
        <v>45951</v>
      </c>
      <c r="E265" s="1">
        <v>45959</v>
      </c>
      <c r="F265" t="s">
        <v>13</v>
      </c>
      <c r="G265" t="s">
        <v>26</v>
      </c>
      <c r="H265" t="s">
        <v>31</v>
      </c>
      <c r="I265">
        <v>20407</v>
      </c>
      <c r="J265" t="s">
        <v>16</v>
      </c>
      <c r="K265" t="s">
        <v>17</v>
      </c>
      <c r="L265">
        <f>Table1[[#This Row],[Discharge_Date]]-Table1[[#This Row],[Admission_Date]]</f>
        <v>8</v>
      </c>
      <c r="M265" t="str">
        <f>IF(Table1[[#This Row],[Treatment_Cost]]&gt;50000,"High","Standard")</f>
        <v>Standard</v>
      </c>
    </row>
    <row r="266" spans="1:13" x14ac:dyDescent="0.35">
      <c r="A266" t="s">
        <v>297</v>
      </c>
      <c r="B266">
        <v>61</v>
      </c>
      <c r="C266" t="s">
        <v>12</v>
      </c>
      <c r="D266" s="1">
        <v>45948</v>
      </c>
      <c r="E266" s="1">
        <v>45952</v>
      </c>
      <c r="F266" t="s">
        <v>36</v>
      </c>
      <c r="G266" t="s">
        <v>33</v>
      </c>
      <c r="H266" t="s">
        <v>15</v>
      </c>
      <c r="I266">
        <v>8427</v>
      </c>
      <c r="J266" t="s">
        <v>28</v>
      </c>
      <c r="K266" t="s">
        <v>29</v>
      </c>
      <c r="L266">
        <f>Table1[[#This Row],[Discharge_Date]]-Table1[[#This Row],[Admission_Date]]</f>
        <v>4</v>
      </c>
      <c r="M266" t="str">
        <f>IF(Table1[[#This Row],[Treatment_Cost]]&gt;50000,"High","Standard")</f>
        <v>Standard</v>
      </c>
    </row>
    <row r="267" spans="1:13" x14ac:dyDescent="0.35">
      <c r="A267" t="s">
        <v>298</v>
      </c>
      <c r="B267">
        <v>37</v>
      </c>
      <c r="C267" t="s">
        <v>24</v>
      </c>
      <c r="D267" s="1">
        <v>45984</v>
      </c>
      <c r="E267" s="1">
        <v>45990</v>
      </c>
      <c r="F267" t="s">
        <v>19</v>
      </c>
      <c r="G267" t="s">
        <v>20</v>
      </c>
      <c r="H267" t="s">
        <v>15</v>
      </c>
      <c r="I267">
        <v>85954</v>
      </c>
      <c r="J267" t="s">
        <v>16</v>
      </c>
      <c r="K267" t="s">
        <v>17</v>
      </c>
      <c r="L267">
        <f>Table1[[#This Row],[Discharge_Date]]-Table1[[#This Row],[Admission_Date]]</f>
        <v>6</v>
      </c>
      <c r="M267" t="str">
        <f>IF(Table1[[#This Row],[Treatment_Cost]]&gt;50000,"High","Standard")</f>
        <v>High</v>
      </c>
    </row>
    <row r="268" spans="1:13" x14ac:dyDescent="0.35">
      <c r="A268" t="s">
        <v>299</v>
      </c>
      <c r="B268">
        <v>65</v>
      </c>
      <c r="C268" t="s">
        <v>12</v>
      </c>
      <c r="D268" s="1">
        <v>45913</v>
      </c>
      <c r="E268" s="1">
        <v>45917</v>
      </c>
      <c r="F268" t="s">
        <v>25</v>
      </c>
      <c r="G268" t="s">
        <v>20</v>
      </c>
      <c r="H268" t="s">
        <v>34</v>
      </c>
      <c r="I268">
        <v>96339</v>
      </c>
      <c r="J268" t="s">
        <v>16</v>
      </c>
      <c r="K268" t="s">
        <v>22</v>
      </c>
      <c r="L268">
        <f>Table1[[#This Row],[Discharge_Date]]-Table1[[#This Row],[Admission_Date]]</f>
        <v>4</v>
      </c>
      <c r="M268" t="str">
        <f>IF(Table1[[#This Row],[Treatment_Cost]]&gt;50000,"High","Standard")</f>
        <v>High</v>
      </c>
    </row>
    <row r="269" spans="1:13" x14ac:dyDescent="0.35">
      <c r="A269" t="s">
        <v>300</v>
      </c>
      <c r="B269">
        <v>40</v>
      </c>
      <c r="C269" t="s">
        <v>12</v>
      </c>
      <c r="D269" s="1">
        <v>45950</v>
      </c>
      <c r="E269" s="1">
        <v>45958</v>
      </c>
      <c r="F269" t="s">
        <v>25</v>
      </c>
      <c r="G269" t="s">
        <v>33</v>
      </c>
      <c r="H269" t="s">
        <v>15</v>
      </c>
      <c r="I269">
        <v>68739</v>
      </c>
      <c r="J269" t="s">
        <v>16</v>
      </c>
      <c r="K269" t="s">
        <v>22</v>
      </c>
      <c r="L269">
        <f>Table1[[#This Row],[Discharge_Date]]-Table1[[#This Row],[Admission_Date]]</f>
        <v>8</v>
      </c>
      <c r="M269" t="str">
        <f>IF(Table1[[#This Row],[Treatment_Cost]]&gt;50000,"High","Standard")</f>
        <v>High</v>
      </c>
    </row>
    <row r="270" spans="1:13" x14ac:dyDescent="0.35">
      <c r="A270" t="s">
        <v>301</v>
      </c>
      <c r="B270">
        <v>49</v>
      </c>
      <c r="C270" t="s">
        <v>12</v>
      </c>
      <c r="D270" s="1">
        <v>45943</v>
      </c>
      <c r="E270" s="1">
        <v>45952</v>
      </c>
      <c r="F270" t="s">
        <v>19</v>
      </c>
      <c r="G270" t="s">
        <v>14</v>
      </c>
      <c r="H270" t="s">
        <v>21</v>
      </c>
      <c r="I270">
        <v>69610</v>
      </c>
      <c r="J270" t="s">
        <v>16</v>
      </c>
      <c r="K270" t="s">
        <v>29</v>
      </c>
      <c r="L270">
        <f>Table1[[#This Row],[Discharge_Date]]-Table1[[#This Row],[Admission_Date]]</f>
        <v>9</v>
      </c>
      <c r="M270" t="str">
        <f>IF(Table1[[#This Row],[Treatment_Cost]]&gt;50000,"High","Standard")</f>
        <v>High</v>
      </c>
    </row>
    <row r="271" spans="1:13" x14ac:dyDescent="0.35">
      <c r="A271" t="s">
        <v>302</v>
      </c>
      <c r="B271">
        <v>25</v>
      </c>
      <c r="C271" t="s">
        <v>24</v>
      </c>
      <c r="D271" s="1">
        <v>45793</v>
      </c>
      <c r="E271" s="1">
        <v>45799</v>
      </c>
      <c r="F271" t="s">
        <v>19</v>
      </c>
      <c r="G271" t="s">
        <v>20</v>
      </c>
      <c r="H271" t="s">
        <v>15</v>
      </c>
      <c r="I271">
        <v>59009</v>
      </c>
      <c r="J271" t="s">
        <v>16</v>
      </c>
      <c r="K271" t="s">
        <v>29</v>
      </c>
      <c r="L271">
        <f>Table1[[#This Row],[Discharge_Date]]-Table1[[#This Row],[Admission_Date]]</f>
        <v>6</v>
      </c>
      <c r="M271" t="str">
        <f>IF(Table1[[#This Row],[Treatment_Cost]]&gt;50000,"High","Standard")</f>
        <v>High</v>
      </c>
    </row>
    <row r="272" spans="1:13" x14ac:dyDescent="0.35">
      <c r="A272" t="s">
        <v>303</v>
      </c>
      <c r="B272">
        <v>43</v>
      </c>
      <c r="C272" t="s">
        <v>24</v>
      </c>
      <c r="D272" s="1">
        <v>45666</v>
      </c>
      <c r="E272" s="1">
        <v>45672</v>
      </c>
      <c r="F272" t="s">
        <v>36</v>
      </c>
      <c r="G272" t="s">
        <v>14</v>
      </c>
      <c r="H272" t="s">
        <v>31</v>
      </c>
      <c r="I272">
        <v>54088</v>
      </c>
      <c r="J272" t="s">
        <v>16</v>
      </c>
      <c r="K272" t="s">
        <v>29</v>
      </c>
      <c r="L272">
        <f>Table1[[#This Row],[Discharge_Date]]-Table1[[#This Row],[Admission_Date]]</f>
        <v>6</v>
      </c>
      <c r="M272" t="str">
        <f>IF(Table1[[#This Row],[Treatment_Cost]]&gt;50000,"High","Standard")</f>
        <v>High</v>
      </c>
    </row>
    <row r="273" spans="1:13" x14ac:dyDescent="0.35">
      <c r="A273" t="s">
        <v>304</v>
      </c>
      <c r="B273">
        <v>66</v>
      </c>
      <c r="C273" t="s">
        <v>24</v>
      </c>
      <c r="D273" s="1">
        <v>45821</v>
      </c>
      <c r="E273" s="1">
        <v>45823</v>
      </c>
      <c r="F273" t="s">
        <v>13</v>
      </c>
      <c r="G273" t="s">
        <v>33</v>
      </c>
      <c r="H273" t="s">
        <v>27</v>
      </c>
      <c r="I273">
        <v>99571</v>
      </c>
      <c r="J273" t="s">
        <v>16</v>
      </c>
      <c r="K273" t="s">
        <v>29</v>
      </c>
      <c r="L273">
        <f>Table1[[#This Row],[Discharge_Date]]-Table1[[#This Row],[Admission_Date]]</f>
        <v>2</v>
      </c>
      <c r="M273" t="str">
        <f>IF(Table1[[#This Row],[Treatment_Cost]]&gt;50000,"High","Standard")</f>
        <v>High</v>
      </c>
    </row>
    <row r="274" spans="1:13" x14ac:dyDescent="0.35">
      <c r="A274" t="s">
        <v>305</v>
      </c>
      <c r="B274">
        <v>67</v>
      </c>
      <c r="C274" t="s">
        <v>24</v>
      </c>
      <c r="D274" s="1">
        <v>45697</v>
      </c>
      <c r="E274" s="1">
        <v>45703</v>
      </c>
      <c r="F274" t="s">
        <v>25</v>
      </c>
      <c r="G274" t="s">
        <v>14</v>
      </c>
      <c r="H274" t="s">
        <v>31</v>
      </c>
      <c r="I274">
        <v>90286</v>
      </c>
      <c r="J274" t="s">
        <v>16</v>
      </c>
      <c r="K274" t="s">
        <v>29</v>
      </c>
      <c r="L274">
        <f>Table1[[#This Row],[Discharge_Date]]-Table1[[#This Row],[Admission_Date]]</f>
        <v>6</v>
      </c>
      <c r="M274" t="str">
        <f>IF(Table1[[#This Row],[Treatment_Cost]]&gt;50000,"High","Standard")</f>
        <v>High</v>
      </c>
    </row>
    <row r="275" spans="1:13" x14ac:dyDescent="0.35">
      <c r="A275" t="s">
        <v>306</v>
      </c>
      <c r="B275">
        <v>63</v>
      </c>
      <c r="C275" t="s">
        <v>12</v>
      </c>
      <c r="D275" s="1">
        <v>46000</v>
      </c>
      <c r="E275" s="1">
        <v>46002</v>
      </c>
      <c r="F275" t="s">
        <v>19</v>
      </c>
      <c r="G275" t="s">
        <v>40</v>
      </c>
      <c r="H275" t="s">
        <v>34</v>
      </c>
      <c r="I275">
        <v>24502</v>
      </c>
      <c r="J275" t="s">
        <v>28</v>
      </c>
      <c r="K275" t="s">
        <v>29</v>
      </c>
      <c r="L275">
        <f>Table1[[#This Row],[Discharge_Date]]-Table1[[#This Row],[Admission_Date]]</f>
        <v>2</v>
      </c>
      <c r="M275" t="str">
        <f>IF(Table1[[#This Row],[Treatment_Cost]]&gt;50000,"High","Standard")</f>
        <v>Standard</v>
      </c>
    </row>
    <row r="276" spans="1:13" x14ac:dyDescent="0.35">
      <c r="A276" t="s">
        <v>307</v>
      </c>
      <c r="B276">
        <v>38</v>
      </c>
      <c r="C276" t="s">
        <v>24</v>
      </c>
      <c r="D276" s="1">
        <v>46022</v>
      </c>
      <c r="E276" s="1">
        <v>46027</v>
      </c>
      <c r="F276" t="s">
        <v>25</v>
      </c>
      <c r="G276" t="s">
        <v>20</v>
      </c>
      <c r="H276" t="s">
        <v>15</v>
      </c>
      <c r="I276">
        <v>86006</v>
      </c>
      <c r="J276" t="s">
        <v>16</v>
      </c>
      <c r="K276" t="s">
        <v>29</v>
      </c>
      <c r="L276">
        <f>Table1[[#This Row],[Discharge_Date]]-Table1[[#This Row],[Admission_Date]]</f>
        <v>5</v>
      </c>
      <c r="M276" t="str">
        <f>IF(Table1[[#This Row],[Treatment_Cost]]&gt;50000,"High","Standard")</f>
        <v>High</v>
      </c>
    </row>
    <row r="277" spans="1:13" x14ac:dyDescent="0.35">
      <c r="A277" t="s">
        <v>308</v>
      </c>
      <c r="B277">
        <v>57</v>
      </c>
      <c r="C277" t="s">
        <v>12</v>
      </c>
      <c r="D277" s="1">
        <v>45873</v>
      </c>
      <c r="E277" s="1">
        <v>45881</v>
      </c>
      <c r="F277" t="s">
        <v>19</v>
      </c>
      <c r="G277" t="s">
        <v>26</v>
      </c>
      <c r="H277" t="s">
        <v>34</v>
      </c>
      <c r="I277">
        <v>15270</v>
      </c>
      <c r="J277" t="s">
        <v>28</v>
      </c>
      <c r="K277" t="s">
        <v>29</v>
      </c>
      <c r="L277">
        <f>Table1[[#This Row],[Discharge_Date]]-Table1[[#This Row],[Admission_Date]]</f>
        <v>8</v>
      </c>
      <c r="M277" t="str">
        <f>IF(Table1[[#This Row],[Treatment_Cost]]&gt;50000,"High","Standard")</f>
        <v>Standard</v>
      </c>
    </row>
    <row r="278" spans="1:13" x14ac:dyDescent="0.35">
      <c r="A278" t="s">
        <v>309</v>
      </c>
      <c r="B278">
        <v>44</v>
      </c>
      <c r="C278" t="s">
        <v>24</v>
      </c>
      <c r="D278" s="1">
        <v>45789</v>
      </c>
      <c r="E278" s="1">
        <v>45798</v>
      </c>
      <c r="F278" t="s">
        <v>13</v>
      </c>
      <c r="G278" t="s">
        <v>40</v>
      </c>
      <c r="H278" t="s">
        <v>15</v>
      </c>
      <c r="I278">
        <v>15402</v>
      </c>
      <c r="J278" t="s">
        <v>28</v>
      </c>
      <c r="K278" t="s">
        <v>29</v>
      </c>
      <c r="L278">
        <f>Table1[[#This Row],[Discharge_Date]]-Table1[[#This Row],[Admission_Date]]</f>
        <v>9</v>
      </c>
      <c r="M278" t="str">
        <f>IF(Table1[[#This Row],[Treatment_Cost]]&gt;50000,"High","Standard")</f>
        <v>Standard</v>
      </c>
    </row>
    <row r="279" spans="1:13" x14ac:dyDescent="0.35">
      <c r="A279" t="s">
        <v>310</v>
      </c>
      <c r="B279">
        <v>27</v>
      </c>
      <c r="C279" t="s">
        <v>24</v>
      </c>
      <c r="D279" s="1">
        <v>45767</v>
      </c>
      <c r="E279" s="1">
        <v>45769</v>
      </c>
      <c r="F279" t="s">
        <v>36</v>
      </c>
      <c r="G279" t="s">
        <v>20</v>
      </c>
      <c r="H279" t="s">
        <v>31</v>
      </c>
      <c r="I279">
        <v>63035</v>
      </c>
      <c r="J279" t="s">
        <v>16</v>
      </c>
      <c r="K279" t="s">
        <v>22</v>
      </c>
      <c r="L279">
        <f>Table1[[#This Row],[Discharge_Date]]-Table1[[#This Row],[Admission_Date]]</f>
        <v>2</v>
      </c>
      <c r="M279" t="str">
        <f>IF(Table1[[#This Row],[Treatment_Cost]]&gt;50000,"High","Standard")</f>
        <v>High</v>
      </c>
    </row>
    <row r="280" spans="1:13" x14ac:dyDescent="0.35">
      <c r="A280" t="s">
        <v>311</v>
      </c>
      <c r="B280">
        <v>58</v>
      </c>
      <c r="C280" t="s">
        <v>24</v>
      </c>
      <c r="D280" s="1">
        <v>45839</v>
      </c>
      <c r="E280" s="1">
        <v>45840</v>
      </c>
      <c r="F280" t="s">
        <v>19</v>
      </c>
      <c r="G280" t="s">
        <v>33</v>
      </c>
      <c r="H280" t="s">
        <v>27</v>
      </c>
      <c r="I280">
        <v>60075</v>
      </c>
      <c r="J280" t="s">
        <v>16</v>
      </c>
      <c r="K280" t="s">
        <v>22</v>
      </c>
      <c r="L280">
        <f>Table1[[#This Row],[Discharge_Date]]-Table1[[#This Row],[Admission_Date]]</f>
        <v>1</v>
      </c>
      <c r="M280" t="str">
        <f>IF(Table1[[#This Row],[Treatment_Cost]]&gt;50000,"High","Standard")</f>
        <v>High</v>
      </c>
    </row>
    <row r="281" spans="1:13" x14ac:dyDescent="0.35">
      <c r="A281" t="s">
        <v>312</v>
      </c>
      <c r="B281">
        <v>65</v>
      </c>
      <c r="C281" t="s">
        <v>24</v>
      </c>
      <c r="D281" s="1">
        <v>45911</v>
      </c>
      <c r="E281" s="1">
        <v>45921</v>
      </c>
      <c r="F281" t="s">
        <v>25</v>
      </c>
      <c r="G281" t="s">
        <v>14</v>
      </c>
      <c r="H281" t="s">
        <v>31</v>
      </c>
      <c r="I281">
        <v>44382</v>
      </c>
      <c r="J281" t="s">
        <v>16</v>
      </c>
      <c r="K281" t="s">
        <v>17</v>
      </c>
      <c r="L281">
        <f>Table1[[#This Row],[Discharge_Date]]-Table1[[#This Row],[Admission_Date]]</f>
        <v>10</v>
      </c>
      <c r="M281" t="str">
        <f>IF(Table1[[#This Row],[Treatment_Cost]]&gt;50000,"High","Standard")</f>
        <v>Standard</v>
      </c>
    </row>
    <row r="282" spans="1:13" x14ac:dyDescent="0.35">
      <c r="A282" t="s">
        <v>313</v>
      </c>
      <c r="B282">
        <v>76</v>
      </c>
      <c r="C282" t="s">
        <v>24</v>
      </c>
      <c r="D282" s="1">
        <v>45805</v>
      </c>
      <c r="E282" s="1">
        <v>45814</v>
      </c>
      <c r="F282" t="s">
        <v>19</v>
      </c>
      <c r="G282" t="s">
        <v>14</v>
      </c>
      <c r="H282" t="s">
        <v>15</v>
      </c>
      <c r="I282">
        <v>26814</v>
      </c>
      <c r="J282" t="s">
        <v>16</v>
      </c>
      <c r="K282" t="s">
        <v>29</v>
      </c>
      <c r="L282">
        <f>Table1[[#This Row],[Discharge_Date]]-Table1[[#This Row],[Admission_Date]]</f>
        <v>9</v>
      </c>
      <c r="M282" t="str">
        <f>IF(Table1[[#This Row],[Treatment_Cost]]&gt;50000,"High","Standard")</f>
        <v>Standard</v>
      </c>
    </row>
    <row r="283" spans="1:13" x14ac:dyDescent="0.35">
      <c r="A283" t="s">
        <v>314</v>
      </c>
      <c r="B283">
        <v>66</v>
      </c>
      <c r="C283" t="s">
        <v>12</v>
      </c>
      <c r="D283" s="1">
        <v>45705</v>
      </c>
      <c r="E283" s="1">
        <v>45707</v>
      </c>
      <c r="F283" t="s">
        <v>36</v>
      </c>
      <c r="G283" t="s">
        <v>33</v>
      </c>
      <c r="H283" t="s">
        <v>34</v>
      </c>
      <c r="I283">
        <v>28401</v>
      </c>
      <c r="J283" t="s">
        <v>28</v>
      </c>
      <c r="K283" t="s">
        <v>17</v>
      </c>
      <c r="L283">
        <f>Table1[[#This Row],[Discharge_Date]]-Table1[[#This Row],[Admission_Date]]</f>
        <v>2</v>
      </c>
      <c r="M283" t="str">
        <f>IF(Table1[[#This Row],[Treatment_Cost]]&gt;50000,"High","Standard")</f>
        <v>Standard</v>
      </c>
    </row>
    <row r="284" spans="1:13" x14ac:dyDescent="0.35">
      <c r="A284" t="s">
        <v>315</v>
      </c>
      <c r="B284">
        <v>33</v>
      </c>
      <c r="C284" t="s">
        <v>24</v>
      </c>
      <c r="D284" s="1">
        <v>45757</v>
      </c>
      <c r="E284" s="1">
        <v>45761</v>
      </c>
      <c r="F284" t="s">
        <v>19</v>
      </c>
      <c r="G284" t="s">
        <v>20</v>
      </c>
      <c r="H284" t="s">
        <v>15</v>
      </c>
      <c r="I284">
        <v>6257</v>
      </c>
      <c r="J284" t="s">
        <v>28</v>
      </c>
      <c r="K284" t="s">
        <v>29</v>
      </c>
      <c r="L284">
        <f>Table1[[#This Row],[Discharge_Date]]-Table1[[#This Row],[Admission_Date]]</f>
        <v>4</v>
      </c>
      <c r="M284" t="str">
        <f>IF(Table1[[#This Row],[Treatment_Cost]]&gt;50000,"High","Standard")</f>
        <v>Standard</v>
      </c>
    </row>
    <row r="285" spans="1:13" x14ac:dyDescent="0.35">
      <c r="A285" t="s">
        <v>316</v>
      </c>
      <c r="B285">
        <v>36</v>
      </c>
      <c r="C285" t="s">
        <v>24</v>
      </c>
      <c r="D285" s="1">
        <v>45807</v>
      </c>
      <c r="E285" s="1">
        <v>45816</v>
      </c>
      <c r="F285" t="s">
        <v>48</v>
      </c>
      <c r="G285" t="s">
        <v>40</v>
      </c>
      <c r="H285" t="s">
        <v>34</v>
      </c>
      <c r="I285">
        <v>57154</v>
      </c>
      <c r="J285" t="s">
        <v>28</v>
      </c>
      <c r="K285" t="s">
        <v>29</v>
      </c>
      <c r="L285">
        <f>Table1[[#This Row],[Discharge_Date]]-Table1[[#This Row],[Admission_Date]]</f>
        <v>9</v>
      </c>
      <c r="M285" t="str">
        <f>IF(Table1[[#This Row],[Treatment_Cost]]&gt;50000,"High","Standard")</f>
        <v>High</v>
      </c>
    </row>
    <row r="286" spans="1:13" x14ac:dyDescent="0.35">
      <c r="A286" t="s">
        <v>317</v>
      </c>
      <c r="B286">
        <v>56</v>
      </c>
      <c r="C286" t="s">
        <v>12</v>
      </c>
      <c r="D286" s="1">
        <v>45842</v>
      </c>
      <c r="E286" s="1">
        <v>45846</v>
      </c>
      <c r="F286" t="s">
        <v>19</v>
      </c>
      <c r="G286" t="s">
        <v>40</v>
      </c>
      <c r="H286" t="s">
        <v>34</v>
      </c>
      <c r="I286">
        <v>30255</v>
      </c>
      <c r="J286" t="s">
        <v>16</v>
      </c>
      <c r="K286" t="s">
        <v>29</v>
      </c>
      <c r="L286">
        <f>Table1[[#This Row],[Discharge_Date]]-Table1[[#This Row],[Admission_Date]]</f>
        <v>4</v>
      </c>
      <c r="M286" t="str">
        <f>IF(Table1[[#This Row],[Treatment_Cost]]&gt;50000,"High","Standard")</f>
        <v>Standard</v>
      </c>
    </row>
    <row r="287" spans="1:13" x14ac:dyDescent="0.35">
      <c r="A287" t="s">
        <v>318</v>
      </c>
      <c r="B287">
        <v>28</v>
      </c>
      <c r="C287" t="s">
        <v>12</v>
      </c>
      <c r="D287" s="1">
        <v>45808</v>
      </c>
      <c r="E287" s="1">
        <v>45815</v>
      </c>
      <c r="F287" t="s">
        <v>48</v>
      </c>
      <c r="G287" t="s">
        <v>26</v>
      </c>
      <c r="H287" t="s">
        <v>27</v>
      </c>
      <c r="I287">
        <v>54744</v>
      </c>
      <c r="J287" t="s">
        <v>28</v>
      </c>
      <c r="K287" t="s">
        <v>17</v>
      </c>
      <c r="L287">
        <f>Table1[[#This Row],[Discharge_Date]]-Table1[[#This Row],[Admission_Date]]</f>
        <v>7</v>
      </c>
      <c r="M287" t="str">
        <f>IF(Table1[[#This Row],[Treatment_Cost]]&gt;50000,"High","Standard")</f>
        <v>High</v>
      </c>
    </row>
    <row r="288" spans="1:13" x14ac:dyDescent="0.35">
      <c r="A288" t="s">
        <v>319</v>
      </c>
      <c r="B288">
        <v>18</v>
      </c>
      <c r="C288" t="s">
        <v>12</v>
      </c>
      <c r="D288" s="1">
        <v>45934</v>
      </c>
      <c r="E288" s="1">
        <v>45941</v>
      </c>
      <c r="F288" t="s">
        <v>13</v>
      </c>
      <c r="G288" t="s">
        <v>40</v>
      </c>
      <c r="H288" t="s">
        <v>31</v>
      </c>
      <c r="I288">
        <v>37764</v>
      </c>
      <c r="J288" t="s">
        <v>28</v>
      </c>
      <c r="K288" t="s">
        <v>29</v>
      </c>
      <c r="L288">
        <f>Table1[[#This Row],[Discharge_Date]]-Table1[[#This Row],[Admission_Date]]</f>
        <v>7</v>
      </c>
      <c r="M288" t="str">
        <f>IF(Table1[[#This Row],[Treatment_Cost]]&gt;50000,"High","Standard")</f>
        <v>Standard</v>
      </c>
    </row>
    <row r="289" spans="1:13" x14ac:dyDescent="0.35">
      <c r="A289" t="s">
        <v>320</v>
      </c>
      <c r="B289">
        <v>24</v>
      </c>
      <c r="C289" t="s">
        <v>12</v>
      </c>
      <c r="D289" s="1">
        <v>45947</v>
      </c>
      <c r="E289" s="1">
        <v>45951</v>
      </c>
      <c r="F289" t="s">
        <v>48</v>
      </c>
      <c r="G289" t="s">
        <v>20</v>
      </c>
      <c r="H289" t="s">
        <v>27</v>
      </c>
      <c r="I289">
        <v>79636</v>
      </c>
      <c r="J289" t="s">
        <v>28</v>
      </c>
      <c r="K289" t="s">
        <v>17</v>
      </c>
      <c r="L289">
        <f>Table1[[#This Row],[Discharge_Date]]-Table1[[#This Row],[Admission_Date]]</f>
        <v>4</v>
      </c>
      <c r="M289" t="str">
        <f>IF(Table1[[#This Row],[Treatment_Cost]]&gt;50000,"High","Standard")</f>
        <v>High</v>
      </c>
    </row>
    <row r="290" spans="1:13" x14ac:dyDescent="0.35">
      <c r="A290" t="s">
        <v>321</v>
      </c>
      <c r="B290">
        <v>22</v>
      </c>
      <c r="C290" t="s">
        <v>12</v>
      </c>
      <c r="D290" s="1">
        <v>45988</v>
      </c>
      <c r="E290" s="1">
        <v>45996</v>
      </c>
      <c r="F290" t="s">
        <v>48</v>
      </c>
      <c r="G290" t="s">
        <v>14</v>
      </c>
      <c r="H290" t="s">
        <v>15</v>
      </c>
      <c r="I290">
        <v>34493</v>
      </c>
      <c r="J290" t="s">
        <v>16</v>
      </c>
      <c r="K290" t="s">
        <v>22</v>
      </c>
      <c r="L290">
        <f>Table1[[#This Row],[Discharge_Date]]-Table1[[#This Row],[Admission_Date]]</f>
        <v>8</v>
      </c>
      <c r="M290" t="str">
        <f>IF(Table1[[#This Row],[Treatment_Cost]]&gt;50000,"High","Standard")</f>
        <v>Standard</v>
      </c>
    </row>
    <row r="291" spans="1:13" x14ac:dyDescent="0.35">
      <c r="A291" t="s">
        <v>322</v>
      </c>
      <c r="B291">
        <v>79</v>
      </c>
      <c r="C291" t="s">
        <v>12</v>
      </c>
      <c r="D291" s="1">
        <v>45908</v>
      </c>
      <c r="E291" s="1">
        <v>45916</v>
      </c>
      <c r="F291" t="s">
        <v>25</v>
      </c>
      <c r="G291" t="s">
        <v>26</v>
      </c>
      <c r="H291" t="s">
        <v>27</v>
      </c>
      <c r="I291">
        <v>26384</v>
      </c>
      <c r="J291" t="s">
        <v>28</v>
      </c>
      <c r="K291" t="s">
        <v>17</v>
      </c>
      <c r="L291">
        <f>Table1[[#This Row],[Discharge_Date]]-Table1[[#This Row],[Admission_Date]]</f>
        <v>8</v>
      </c>
      <c r="M291" t="str">
        <f>IF(Table1[[#This Row],[Treatment_Cost]]&gt;50000,"High","Standard")</f>
        <v>Standard</v>
      </c>
    </row>
    <row r="292" spans="1:13" x14ac:dyDescent="0.35">
      <c r="A292" t="s">
        <v>323</v>
      </c>
      <c r="B292">
        <v>31</v>
      </c>
      <c r="C292" t="s">
        <v>12</v>
      </c>
      <c r="D292" s="1">
        <v>45876</v>
      </c>
      <c r="E292" s="1">
        <v>45885</v>
      </c>
      <c r="F292" t="s">
        <v>25</v>
      </c>
      <c r="G292" t="s">
        <v>26</v>
      </c>
      <c r="H292" t="s">
        <v>27</v>
      </c>
      <c r="I292">
        <v>97176</v>
      </c>
      <c r="J292" t="s">
        <v>28</v>
      </c>
      <c r="K292" t="s">
        <v>22</v>
      </c>
      <c r="L292">
        <f>Table1[[#This Row],[Discharge_Date]]-Table1[[#This Row],[Admission_Date]]</f>
        <v>9</v>
      </c>
      <c r="M292" t="str">
        <f>IF(Table1[[#This Row],[Treatment_Cost]]&gt;50000,"High","Standard")</f>
        <v>High</v>
      </c>
    </row>
    <row r="293" spans="1:13" x14ac:dyDescent="0.35">
      <c r="A293" t="s">
        <v>324</v>
      </c>
      <c r="B293">
        <v>73</v>
      </c>
      <c r="C293" t="s">
        <v>12</v>
      </c>
      <c r="D293" s="1">
        <v>45734</v>
      </c>
      <c r="E293" s="1">
        <v>45741</v>
      </c>
      <c r="F293" t="s">
        <v>36</v>
      </c>
      <c r="G293" t="s">
        <v>14</v>
      </c>
      <c r="H293" t="s">
        <v>27</v>
      </c>
      <c r="I293">
        <v>63686</v>
      </c>
      <c r="J293" t="s">
        <v>16</v>
      </c>
      <c r="K293" t="s">
        <v>22</v>
      </c>
      <c r="L293">
        <f>Table1[[#This Row],[Discharge_Date]]-Table1[[#This Row],[Admission_Date]]</f>
        <v>7</v>
      </c>
      <c r="M293" t="str">
        <f>IF(Table1[[#This Row],[Treatment_Cost]]&gt;50000,"High","Standard")</f>
        <v>High</v>
      </c>
    </row>
    <row r="294" spans="1:13" x14ac:dyDescent="0.35">
      <c r="A294" t="s">
        <v>325</v>
      </c>
      <c r="B294">
        <v>25</v>
      </c>
      <c r="C294" t="s">
        <v>24</v>
      </c>
      <c r="D294" s="1">
        <v>45950</v>
      </c>
      <c r="E294" s="1">
        <v>45956</v>
      </c>
      <c r="F294" t="s">
        <v>36</v>
      </c>
      <c r="G294" t="s">
        <v>20</v>
      </c>
      <c r="H294" t="s">
        <v>21</v>
      </c>
      <c r="I294">
        <v>8224</v>
      </c>
      <c r="J294" t="s">
        <v>16</v>
      </c>
      <c r="K294" t="s">
        <v>29</v>
      </c>
      <c r="L294">
        <f>Table1[[#This Row],[Discharge_Date]]-Table1[[#This Row],[Admission_Date]]</f>
        <v>6</v>
      </c>
      <c r="M294" t="str">
        <f>IF(Table1[[#This Row],[Treatment_Cost]]&gt;50000,"High","Standard")</f>
        <v>Standard</v>
      </c>
    </row>
    <row r="295" spans="1:13" x14ac:dyDescent="0.35">
      <c r="A295" t="s">
        <v>326</v>
      </c>
      <c r="B295">
        <v>23</v>
      </c>
      <c r="C295" t="s">
        <v>24</v>
      </c>
      <c r="D295" s="1">
        <v>45702</v>
      </c>
      <c r="E295" s="1">
        <v>45706</v>
      </c>
      <c r="F295" t="s">
        <v>48</v>
      </c>
      <c r="G295" t="s">
        <v>33</v>
      </c>
      <c r="H295" t="s">
        <v>31</v>
      </c>
      <c r="I295">
        <v>34189</v>
      </c>
      <c r="J295" t="s">
        <v>28</v>
      </c>
      <c r="K295" t="s">
        <v>22</v>
      </c>
      <c r="L295">
        <f>Table1[[#This Row],[Discharge_Date]]-Table1[[#This Row],[Admission_Date]]</f>
        <v>4</v>
      </c>
      <c r="M295" t="str">
        <f>IF(Table1[[#This Row],[Treatment_Cost]]&gt;50000,"High","Standard")</f>
        <v>Standard</v>
      </c>
    </row>
    <row r="296" spans="1:13" x14ac:dyDescent="0.35">
      <c r="A296" t="s">
        <v>327</v>
      </c>
      <c r="B296">
        <v>59</v>
      </c>
      <c r="C296" t="s">
        <v>24</v>
      </c>
      <c r="D296" s="1">
        <v>45701</v>
      </c>
      <c r="E296" s="1">
        <v>45709</v>
      </c>
      <c r="F296" t="s">
        <v>13</v>
      </c>
      <c r="G296" t="s">
        <v>20</v>
      </c>
      <c r="H296" t="s">
        <v>15</v>
      </c>
      <c r="I296">
        <v>44609</v>
      </c>
      <c r="J296" t="s">
        <v>28</v>
      </c>
      <c r="K296" t="s">
        <v>17</v>
      </c>
      <c r="L296">
        <f>Table1[[#This Row],[Discharge_Date]]-Table1[[#This Row],[Admission_Date]]</f>
        <v>8</v>
      </c>
      <c r="M296" t="str">
        <f>IF(Table1[[#This Row],[Treatment_Cost]]&gt;50000,"High","Standard")</f>
        <v>Standard</v>
      </c>
    </row>
    <row r="297" spans="1:13" x14ac:dyDescent="0.35">
      <c r="A297" t="s">
        <v>328</v>
      </c>
      <c r="B297">
        <v>80</v>
      </c>
      <c r="C297" t="s">
        <v>12</v>
      </c>
      <c r="D297" s="1">
        <v>45766</v>
      </c>
      <c r="E297" s="1">
        <v>45774</v>
      </c>
      <c r="F297" t="s">
        <v>36</v>
      </c>
      <c r="G297" t="s">
        <v>14</v>
      </c>
      <c r="H297" t="s">
        <v>21</v>
      </c>
      <c r="I297">
        <v>55081</v>
      </c>
      <c r="J297" t="s">
        <v>16</v>
      </c>
      <c r="K297" t="s">
        <v>17</v>
      </c>
      <c r="L297">
        <f>Table1[[#This Row],[Discharge_Date]]-Table1[[#This Row],[Admission_Date]]</f>
        <v>8</v>
      </c>
      <c r="M297" t="str">
        <f>IF(Table1[[#This Row],[Treatment_Cost]]&gt;50000,"High","Standard")</f>
        <v>High</v>
      </c>
    </row>
    <row r="298" spans="1:13" x14ac:dyDescent="0.35">
      <c r="A298" t="s">
        <v>329</v>
      </c>
      <c r="B298">
        <v>43</v>
      </c>
      <c r="C298" t="s">
        <v>24</v>
      </c>
      <c r="D298" s="1">
        <v>45861</v>
      </c>
      <c r="E298" s="1">
        <v>45868</v>
      </c>
      <c r="F298" t="s">
        <v>13</v>
      </c>
      <c r="G298" t="s">
        <v>33</v>
      </c>
      <c r="H298" t="s">
        <v>15</v>
      </c>
      <c r="I298">
        <v>78896</v>
      </c>
      <c r="J298" t="s">
        <v>28</v>
      </c>
      <c r="K298" t="s">
        <v>22</v>
      </c>
      <c r="L298">
        <f>Table1[[#This Row],[Discharge_Date]]-Table1[[#This Row],[Admission_Date]]</f>
        <v>7</v>
      </c>
      <c r="M298" t="str">
        <f>IF(Table1[[#This Row],[Treatment_Cost]]&gt;50000,"High","Standard")</f>
        <v>High</v>
      </c>
    </row>
    <row r="299" spans="1:13" x14ac:dyDescent="0.35">
      <c r="A299" t="s">
        <v>330</v>
      </c>
      <c r="B299">
        <v>24</v>
      </c>
      <c r="C299" t="s">
        <v>24</v>
      </c>
      <c r="D299" s="1">
        <v>45857</v>
      </c>
      <c r="E299" s="1">
        <v>45862</v>
      </c>
      <c r="F299" t="s">
        <v>36</v>
      </c>
      <c r="G299" t="s">
        <v>26</v>
      </c>
      <c r="H299" t="s">
        <v>31</v>
      </c>
      <c r="I299">
        <v>97678</v>
      </c>
      <c r="J299" t="s">
        <v>16</v>
      </c>
      <c r="K299" t="s">
        <v>22</v>
      </c>
      <c r="L299">
        <f>Table1[[#This Row],[Discharge_Date]]-Table1[[#This Row],[Admission_Date]]</f>
        <v>5</v>
      </c>
      <c r="M299" t="str">
        <f>IF(Table1[[#This Row],[Treatment_Cost]]&gt;50000,"High","Standard")</f>
        <v>High</v>
      </c>
    </row>
    <row r="300" spans="1:13" x14ac:dyDescent="0.35">
      <c r="A300" t="s">
        <v>331</v>
      </c>
      <c r="B300">
        <v>48</v>
      </c>
      <c r="C300" t="s">
        <v>24</v>
      </c>
      <c r="D300" s="1">
        <v>45978</v>
      </c>
      <c r="E300" s="1">
        <v>45982</v>
      </c>
      <c r="F300" t="s">
        <v>13</v>
      </c>
      <c r="G300" t="s">
        <v>20</v>
      </c>
      <c r="H300" t="s">
        <v>31</v>
      </c>
      <c r="I300">
        <v>91822</v>
      </c>
      <c r="J300" t="s">
        <v>16</v>
      </c>
      <c r="K300" t="s">
        <v>22</v>
      </c>
      <c r="L300">
        <f>Table1[[#This Row],[Discharge_Date]]-Table1[[#This Row],[Admission_Date]]</f>
        <v>4</v>
      </c>
      <c r="M300" t="str">
        <f>IF(Table1[[#This Row],[Treatment_Cost]]&gt;50000,"High","Standard")</f>
        <v>High</v>
      </c>
    </row>
    <row r="301" spans="1:13" x14ac:dyDescent="0.35">
      <c r="A301" t="s">
        <v>332</v>
      </c>
      <c r="B301">
        <v>33</v>
      </c>
      <c r="C301" t="s">
        <v>12</v>
      </c>
      <c r="D301" s="1">
        <v>45727</v>
      </c>
      <c r="E301" s="1">
        <v>45736</v>
      </c>
      <c r="F301" t="s">
        <v>48</v>
      </c>
      <c r="G301" t="s">
        <v>14</v>
      </c>
      <c r="H301" t="s">
        <v>21</v>
      </c>
      <c r="I301">
        <v>71103</v>
      </c>
      <c r="J301" t="s">
        <v>28</v>
      </c>
      <c r="K301" t="s">
        <v>22</v>
      </c>
      <c r="L301">
        <f>Table1[[#This Row],[Discharge_Date]]-Table1[[#This Row],[Admission_Date]]</f>
        <v>9</v>
      </c>
      <c r="M301" t="str">
        <f>IF(Table1[[#This Row],[Treatment_Cost]]&gt;50000,"High","Standard")</f>
        <v>High</v>
      </c>
    </row>
    <row r="302" spans="1:13" x14ac:dyDescent="0.35">
      <c r="A302" t="s">
        <v>333</v>
      </c>
      <c r="B302">
        <v>79</v>
      </c>
      <c r="C302" t="s">
        <v>24</v>
      </c>
      <c r="D302" s="1">
        <v>45864</v>
      </c>
      <c r="E302" s="1">
        <v>45874</v>
      </c>
      <c r="F302" t="s">
        <v>48</v>
      </c>
      <c r="G302" t="s">
        <v>20</v>
      </c>
      <c r="H302" t="s">
        <v>15</v>
      </c>
      <c r="I302">
        <v>13021</v>
      </c>
      <c r="J302" t="s">
        <v>28</v>
      </c>
      <c r="K302" t="s">
        <v>17</v>
      </c>
      <c r="L302">
        <f>Table1[[#This Row],[Discharge_Date]]-Table1[[#This Row],[Admission_Date]]</f>
        <v>10</v>
      </c>
      <c r="M302" t="str">
        <f>IF(Table1[[#This Row],[Treatment_Cost]]&gt;50000,"High","Standard")</f>
        <v>Standard</v>
      </c>
    </row>
    <row r="303" spans="1:13" x14ac:dyDescent="0.35">
      <c r="A303" t="s">
        <v>334</v>
      </c>
      <c r="B303">
        <v>22</v>
      </c>
      <c r="C303" t="s">
        <v>24</v>
      </c>
      <c r="D303" s="1">
        <v>45959</v>
      </c>
      <c r="E303" s="1">
        <v>45964</v>
      </c>
      <c r="F303" t="s">
        <v>36</v>
      </c>
      <c r="G303" t="s">
        <v>20</v>
      </c>
      <c r="H303" t="s">
        <v>34</v>
      </c>
      <c r="I303">
        <v>9941</v>
      </c>
      <c r="J303" t="s">
        <v>16</v>
      </c>
      <c r="K303" t="s">
        <v>17</v>
      </c>
      <c r="L303">
        <f>Table1[[#This Row],[Discharge_Date]]-Table1[[#This Row],[Admission_Date]]</f>
        <v>5</v>
      </c>
      <c r="M303" t="str">
        <f>IF(Table1[[#This Row],[Treatment_Cost]]&gt;50000,"High","Standard")</f>
        <v>Standard</v>
      </c>
    </row>
    <row r="304" spans="1:13" x14ac:dyDescent="0.35">
      <c r="A304" t="s">
        <v>335</v>
      </c>
      <c r="B304">
        <v>46</v>
      </c>
      <c r="C304" t="s">
        <v>12</v>
      </c>
      <c r="D304" s="1">
        <v>45904</v>
      </c>
      <c r="E304" s="1">
        <v>45911</v>
      </c>
      <c r="F304" t="s">
        <v>25</v>
      </c>
      <c r="G304" t="s">
        <v>40</v>
      </c>
      <c r="H304" t="s">
        <v>21</v>
      </c>
      <c r="I304">
        <v>98515</v>
      </c>
      <c r="J304" t="s">
        <v>28</v>
      </c>
      <c r="K304" t="s">
        <v>29</v>
      </c>
      <c r="L304">
        <f>Table1[[#This Row],[Discharge_Date]]-Table1[[#This Row],[Admission_Date]]</f>
        <v>7</v>
      </c>
      <c r="M304" t="str">
        <f>IF(Table1[[#This Row],[Treatment_Cost]]&gt;50000,"High","Standard")</f>
        <v>High</v>
      </c>
    </row>
    <row r="305" spans="1:13" x14ac:dyDescent="0.35">
      <c r="A305" t="s">
        <v>336</v>
      </c>
      <c r="B305">
        <v>18</v>
      </c>
      <c r="C305" t="s">
        <v>24</v>
      </c>
      <c r="D305" s="1">
        <v>45955</v>
      </c>
      <c r="E305" s="1">
        <v>45960</v>
      </c>
      <c r="F305" t="s">
        <v>36</v>
      </c>
      <c r="G305" t="s">
        <v>26</v>
      </c>
      <c r="H305" t="s">
        <v>34</v>
      </c>
      <c r="I305">
        <v>43172</v>
      </c>
      <c r="J305" t="s">
        <v>16</v>
      </c>
      <c r="K305" t="s">
        <v>29</v>
      </c>
      <c r="L305">
        <f>Table1[[#This Row],[Discharge_Date]]-Table1[[#This Row],[Admission_Date]]</f>
        <v>5</v>
      </c>
      <c r="M305" t="str">
        <f>IF(Table1[[#This Row],[Treatment_Cost]]&gt;50000,"High","Standard")</f>
        <v>Standard</v>
      </c>
    </row>
    <row r="306" spans="1:13" x14ac:dyDescent="0.35">
      <c r="A306" t="s">
        <v>337</v>
      </c>
      <c r="B306">
        <v>63</v>
      </c>
      <c r="C306" t="s">
        <v>12</v>
      </c>
      <c r="D306" s="1">
        <v>45879</v>
      </c>
      <c r="E306" s="1">
        <v>45884</v>
      </c>
      <c r="F306" t="s">
        <v>36</v>
      </c>
      <c r="G306" t="s">
        <v>20</v>
      </c>
      <c r="H306" t="s">
        <v>31</v>
      </c>
      <c r="I306">
        <v>47936</v>
      </c>
      <c r="J306" t="s">
        <v>28</v>
      </c>
      <c r="K306" t="s">
        <v>17</v>
      </c>
      <c r="L306">
        <f>Table1[[#This Row],[Discharge_Date]]-Table1[[#This Row],[Admission_Date]]</f>
        <v>5</v>
      </c>
      <c r="M306" t="str">
        <f>IF(Table1[[#This Row],[Treatment_Cost]]&gt;50000,"High","Standard")</f>
        <v>Standard</v>
      </c>
    </row>
    <row r="307" spans="1:13" x14ac:dyDescent="0.35">
      <c r="A307" t="s">
        <v>338</v>
      </c>
      <c r="B307">
        <v>39</v>
      </c>
      <c r="C307" t="s">
        <v>24</v>
      </c>
      <c r="D307" s="1">
        <v>45982</v>
      </c>
      <c r="E307" s="1">
        <v>45990</v>
      </c>
      <c r="F307" t="s">
        <v>13</v>
      </c>
      <c r="G307" t="s">
        <v>33</v>
      </c>
      <c r="H307" t="s">
        <v>31</v>
      </c>
      <c r="I307">
        <v>50435</v>
      </c>
      <c r="J307" t="s">
        <v>28</v>
      </c>
      <c r="K307" t="s">
        <v>17</v>
      </c>
      <c r="L307">
        <f>Table1[[#This Row],[Discharge_Date]]-Table1[[#This Row],[Admission_Date]]</f>
        <v>8</v>
      </c>
      <c r="M307" t="str">
        <f>IF(Table1[[#This Row],[Treatment_Cost]]&gt;50000,"High","Standard")</f>
        <v>High</v>
      </c>
    </row>
    <row r="308" spans="1:13" x14ac:dyDescent="0.35">
      <c r="A308" t="s">
        <v>339</v>
      </c>
      <c r="B308">
        <v>66</v>
      </c>
      <c r="C308" t="s">
        <v>24</v>
      </c>
      <c r="D308" s="1">
        <v>45719</v>
      </c>
      <c r="E308" s="1">
        <v>45724</v>
      </c>
      <c r="F308" t="s">
        <v>36</v>
      </c>
      <c r="G308" t="s">
        <v>40</v>
      </c>
      <c r="H308" t="s">
        <v>15</v>
      </c>
      <c r="I308">
        <v>42816</v>
      </c>
      <c r="J308" t="s">
        <v>16</v>
      </c>
      <c r="K308" t="s">
        <v>17</v>
      </c>
      <c r="L308">
        <f>Table1[[#This Row],[Discharge_Date]]-Table1[[#This Row],[Admission_Date]]</f>
        <v>5</v>
      </c>
      <c r="M308" t="str">
        <f>IF(Table1[[#This Row],[Treatment_Cost]]&gt;50000,"High","Standard")</f>
        <v>Standard</v>
      </c>
    </row>
    <row r="309" spans="1:13" x14ac:dyDescent="0.35">
      <c r="A309" t="s">
        <v>340</v>
      </c>
      <c r="B309">
        <v>49</v>
      </c>
      <c r="C309" t="s">
        <v>12</v>
      </c>
      <c r="D309" s="1">
        <v>45970</v>
      </c>
      <c r="E309" s="1">
        <v>45975</v>
      </c>
      <c r="F309" t="s">
        <v>48</v>
      </c>
      <c r="G309" t="s">
        <v>40</v>
      </c>
      <c r="H309" t="s">
        <v>21</v>
      </c>
      <c r="I309">
        <v>8128</v>
      </c>
      <c r="J309" t="s">
        <v>28</v>
      </c>
      <c r="K309" t="s">
        <v>17</v>
      </c>
      <c r="L309">
        <f>Table1[[#This Row],[Discharge_Date]]-Table1[[#This Row],[Admission_Date]]</f>
        <v>5</v>
      </c>
      <c r="M309" t="str">
        <f>IF(Table1[[#This Row],[Treatment_Cost]]&gt;50000,"High","Standard")</f>
        <v>Standard</v>
      </c>
    </row>
    <row r="310" spans="1:13" x14ac:dyDescent="0.35">
      <c r="A310" t="s">
        <v>341</v>
      </c>
      <c r="B310">
        <v>43</v>
      </c>
      <c r="C310" t="s">
        <v>24</v>
      </c>
      <c r="D310" s="1">
        <v>45776</v>
      </c>
      <c r="E310" s="1">
        <v>45785</v>
      </c>
      <c r="F310" t="s">
        <v>25</v>
      </c>
      <c r="G310" t="s">
        <v>14</v>
      </c>
      <c r="H310" t="s">
        <v>34</v>
      </c>
      <c r="I310">
        <v>28893</v>
      </c>
      <c r="J310" t="s">
        <v>16</v>
      </c>
      <c r="K310" t="s">
        <v>29</v>
      </c>
      <c r="L310">
        <f>Table1[[#This Row],[Discharge_Date]]-Table1[[#This Row],[Admission_Date]]</f>
        <v>9</v>
      </c>
      <c r="M310" t="str">
        <f>IF(Table1[[#This Row],[Treatment_Cost]]&gt;50000,"High","Standard")</f>
        <v>Standard</v>
      </c>
    </row>
    <row r="311" spans="1:13" x14ac:dyDescent="0.35">
      <c r="A311" t="s">
        <v>342</v>
      </c>
      <c r="B311">
        <v>76</v>
      </c>
      <c r="C311" t="s">
        <v>12</v>
      </c>
      <c r="D311" s="1">
        <v>45736</v>
      </c>
      <c r="E311" s="1">
        <v>45737</v>
      </c>
      <c r="F311" t="s">
        <v>25</v>
      </c>
      <c r="G311" t="s">
        <v>40</v>
      </c>
      <c r="H311" t="s">
        <v>34</v>
      </c>
      <c r="I311">
        <v>63105</v>
      </c>
      <c r="J311" t="s">
        <v>16</v>
      </c>
      <c r="K311" t="s">
        <v>22</v>
      </c>
      <c r="L311">
        <f>Table1[[#This Row],[Discharge_Date]]-Table1[[#This Row],[Admission_Date]]</f>
        <v>1</v>
      </c>
      <c r="M311" t="str">
        <f>IF(Table1[[#This Row],[Treatment_Cost]]&gt;50000,"High","Standard")</f>
        <v>High</v>
      </c>
    </row>
    <row r="312" spans="1:13" x14ac:dyDescent="0.35">
      <c r="A312" t="s">
        <v>343</v>
      </c>
      <c r="B312">
        <v>41</v>
      </c>
      <c r="C312" t="s">
        <v>24</v>
      </c>
      <c r="D312" s="1">
        <v>45786</v>
      </c>
      <c r="E312" s="1">
        <v>45787</v>
      </c>
      <c r="F312" t="s">
        <v>36</v>
      </c>
      <c r="G312" t="s">
        <v>26</v>
      </c>
      <c r="H312" t="s">
        <v>27</v>
      </c>
      <c r="I312">
        <v>64446</v>
      </c>
      <c r="J312" t="s">
        <v>28</v>
      </c>
      <c r="K312" t="s">
        <v>22</v>
      </c>
      <c r="L312">
        <f>Table1[[#This Row],[Discharge_Date]]-Table1[[#This Row],[Admission_Date]]</f>
        <v>1</v>
      </c>
      <c r="M312" t="str">
        <f>IF(Table1[[#This Row],[Treatment_Cost]]&gt;50000,"High","Standard")</f>
        <v>High</v>
      </c>
    </row>
    <row r="313" spans="1:13" x14ac:dyDescent="0.35">
      <c r="A313" t="s">
        <v>344</v>
      </c>
      <c r="B313">
        <v>43</v>
      </c>
      <c r="C313" t="s">
        <v>12</v>
      </c>
      <c r="D313" s="1">
        <v>45846</v>
      </c>
      <c r="E313" s="1">
        <v>45854</v>
      </c>
      <c r="F313" t="s">
        <v>25</v>
      </c>
      <c r="G313" t="s">
        <v>20</v>
      </c>
      <c r="H313" t="s">
        <v>21</v>
      </c>
      <c r="I313">
        <v>92225</v>
      </c>
      <c r="J313" t="s">
        <v>16</v>
      </c>
      <c r="K313" t="s">
        <v>17</v>
      </c>
      <c r="L313">
        <f>Table1[[#This Row],[Discharge_Date]]-Table1[[#This Row],[Admission_Date]]</f>
        <v>8</v>
      </c>
      <c r="M313" t="str">
        <f>IF(Table1[[#This Row],[Treatment_Cost]]&gt;50000,"High","Standard")</f>
        <v>High</v>
      </c>
    </row>
    <row r="314" spans="1:13" x14ac:dyDescent="0.35">
      <c r="A314" t="s">
        <v>345</v>
      </c>
      <c r="B314">
        <v>44</v>
      </c>
      <c r="C314" t="s">
        <v>12</v>
      </c>
      <c r="D314" s="1">
        <v>45663</v>
      </c>
      <c r="E314" s="1">
        <v>45670</v>
      </c>
      <c r="F314" t="s">
        <v>25</v>
      </c>
      <c r="G314" t="s">
        <v>33</v>
      </c>
      <c r="H314" t="s">
        <v>34</v>
      </c>
      <c r="I314">
        <v>29274</v>
      </c>
      <c r="J314" t="s">
        <v>28</v>
      </c>
      <c r="K314" t="s">
        <v>29</v>
      </c>
      <c r="L314">
        <f>Table1[[#This Row],[Discharge_Date]]-Table1[[#This Row],[Admission_Date]]</f>
        <v>7</v>
      </c>
      <c r="M314" t="str">
        <f>IF(Table1[[#This Row],[Treatment_Cost]]&gt;50000,"High","Standard")</f>
        <v>Standard</v>
      </c>
    </row>
    <row r="315" spans="1:13" x14ac:dyDescent="0.35">
      <c r="A315" t="s">
        <v>346</v>
      </c>
      <c r="B315">
        <v>45</v>
      </c>
      <c r="C315" t="s">
        <v>24</v>
      </c>
      <c r="D315" s="1">
        <v>45665</v>
      </c>
      <c r="E315" s="1">
        <v>45671</v>
      </c>
      <c r="F315" t="s">
        <v>19</v>
      </c>
      <c r="G315" t="s">
        <v>26</v>
      </c>
      <c r="H315" t="s">
        <v>15</v>
      </c>
      <c r="I315">
        <v>14925</v>
      </c>
      <c r="J315" t="s">
        <v>16</v>
      </c>
      <c r="K315" t="s">
        <v>22</v>
      </c>
      <c r="L315">
        <f>Table1[[#This Row],[Discharge_Date]]-Table1[[#This Row],[Admission_Date]]</f>
        <v>6</v>
      </c>
      <c r="M315" t="str">
        <f>IF(Table1[[#This Row],[Treatment_Cost]]&gt;50000,"High","Standard")</f>
        <v>Standard</v>
      </c>
    </row>
    <row r="316" spans="1:13" x14ac:dyDescent="0.35">
      <c r="A316" t="s">
        <v>347</v>
      </c>
      <c r="B316">
        <v>57</v>
      </c>
      <c r="C316" t="s">
        <v>12</v>
      </c>
      <c r="D316" s="1">
        <v>45748</v>
      </c>
      <c r="E316" s="1">
        <v>45756</v>
      </c>
      <c r="F316" t="s">
        <v>19</v>
      </c>
      <c r="G316" t="s">
        <v>33</v>
      </c>
      <c r="H316" t="s">
        <v>31</v>
      </c>
      <c r="I316">
        <v>56959</v>
      </c>
      <c r="J316" t="s">
        <v>28</v>
      </c>
      <c r="K316" t="s">
        <v>17</v>
      </c>
      <c r="L316">
        <f>Table1[[#This Row],[Discharge_Date]]-Table1[[#This Row],[Admission_Date]]</f>
        <v>8</v>
      </c>
      <c r="M316" t="str">
        <f>IF(Table1[[#This Row],[Treatment_Cost]]&gt;50000,"High","Standard")</f>
        <v>High</v>
      </c>
    </row>
    <row r="317" spans="1:13" x14ac:dyDescent="0.35">
      <c r="A317" t="s">
        <v>348</v>
      </c>
      <c r="B317">
        <v>41</v>
      </c>
      <c r="C317" t="s">
        <v>12</v>
      </c>
      <c r="D317" s="1">
        <v>45783</v>
      </c>
      <c r="E317" s="1">
        <v>45790</v>
      </c>
      <c r="F317" t="s">
        <v>13</v>
      </c>
      <c r="G317" t="s">
        <v>26</v>
      </c>
      <c r="H317" t="s">
        <v>21</v>
      </c>
      <c r="I317">
        <v>62355</v>
      </c>
      <c r="J317" t="s">
        <v>16</v>
      </c>
      <c r="K317" t="s">
        <v>22</v>
      </c>
      <c r="L317">
        <f>Table1[[#This Row],[Discharge_Date]]-Table1[[#This Row],[Admission_Date]]</f>
        <v>7</v>
      </c>
      <c r="M317" t="str">
        <f>IF(Table1[[#This Row],[Treatment_Cost]]&gt;50000,"High","Standard")</f>
        <v>High</v>
      </c>
    </row>
    <row r="318" spans="1:13" x14ac:dyDescent="0.35">
      <c r="A318" t="s">
        <v>349</v>
      </c>
      <c r="B318">
        <v>23</v>
      </c>
      <c r="C318" t="s">
        <v>24</v>
      </c>
      <c r="D318" s="1">
        <v>45919</v>
      </c>
      <c r="E318" s="1">
        <v>45921</v>
      </c>
      <c r="F318" t="s">
        <v>13</v>
      </c>
      <c r="G318" t="s">
        <v>40</v>
      </c>
      <c r="H318" t="s">
        <v>27</v>
      </c>
      <c r="I318">
        <v>21108</v>
      </c>
      <c r="J318" t="s">
        <v>28</v>
      </c>
      <c r="K318" t="s">
        <v>22</v>
      </c>
      <c r="L318">
        <f>Table1[[#This Row],[Discharge_Date]]-Table1[[#This Row],[Admission_Date]]</f>
        <v>2</v>
      </c>
      <c r="M318" t="str">
        <f>IF(Table1[[#This Row],[Treatment_Cost]]&gt;50000,"High","Standard")</f>
        <v>Standard</v>
      </c>
    </row>
    <row r="319" spans="1:13" x14ac:dyDescent="0.35">
      <c r="A319" t="s">
        <v>350</v>
      </c>
      <c r="B319">
        <v>61</v>
      </c>
      <c r="C319" t="s">
        <v>12</v>
      </c>
      <c r="D319" s="1">
        <v>45766</v>
      </c>
      <c r="E319" s="1">
        <v>45771</v>
      </c>
      <c r="F319" t="s">
        <v>36</v>
      </c>
      <c r="G319" t="s">
        <v>20</v>
      </c>
      <c r="H319" t="s">
        <v>21</v>
      </c>
      <c r="I319">
        <v>98915</v>
      </c>
      <c r="J319" t="s">
        <v>16</v>
      </c>
      <c r="K319" t="s">
        <v>17</v>
      </c>
      <c r="L319">
        <f>Table1[[#This Row],[Discharge_Date]]-Table1[[#This Row],[Admission_Date]]</f>
        <v>5</v>
      </c>
      <c r="M319" t="str">
        <f>IF(Table1[[#This Row],[Treatment_Cost]]&gt;50000,"High","Standard")</f>
        <v>High</v>
      </c>
    </row>
    <row r="320" spans="1:13" x14ac:dyDescent="0.35">
      <c r="A320" t="s">
        <v>351</v>
      </c>
      <c r="B320">
        <v>21</v>
      </c>
      <c r="C320" t="s">
        <v>24</v>
      </c>
      <c r="D320" s="1">
        <v>45703</v>
      </c>
      <c r="E320" s="1">
        <v>45710</v>
      </c>
      <c r="F320" t="s">
        <v>13</v>
      </c>
      <c r="G320" t="s">
        <v>14</v>
      </c>
      <c r="H320" t="s">
        <v>27</v>
      </c>
      <c r="I320">
        <v>23717</v>
      </c>
      <c r="J320" t="s">
        <v>16</v>
      </c>
      <c r="K320" t="s">
        <v>22</v>
      </c>
      <c r="L320">
        <f>Table1[[#This Row],[Discharge_Date]]-Table1[[#This Row],[Admission_Date]]</f>
        <v>7</v>
      </c>
      <c r="M320" t="str">
        <f>IF(Table1[[#This Row],[Treatment_Cost]]&gt;50000,"High","Standard")</f>
        <v>Standard</v>
      </c>
    </row>
    <row r="321" spans="1:13" x14ac:dyDescent="0.35">
      <c r="A321" t="s">
        <v>352</v>
      </c>
      <c r="B321">
        <v>70</v>
      </c>
      <c r="C321" t="s">
        <v>12</v>
      </c>
      <c r="D321" s="1">
        <v>45936</v>
      </c>
      <c r="E321" s="1">
        <v>45938</v>
      </c>
      <c r="F321" t="s">
        <v>25</v>
      </c>
      <c r="G321" t="s">
        <v>26</v>
      </c>
      <c r="H321" t="s">
        <v>15</v>
      </c>
      <c r="I321">
        <v>75930</v>
      </c>
      <c r="J321" t="s">
        <v>28</v>
      </c>
      <c r="K321" t="s">
        <v>22</v>
      </c>
      <c r="L321">
        <f>Table1[[#This Row],[Discharge_Date]]-Table1[[#This Row],[Admission_Date]]</f>
        <v>2</v>
      </c>
      <c r="M321" t="str">
        <f>IF(Table1[[#This Row],[Treatment_Cost]]&gt;50000,"High","Standard")</f>
        <v>High</v>
      </c>
    </row>
    <row r="322" spans="1:13" x14ac:dyDescent="0.35">
      <c r="A322" t="s">
        <v>353</v>
      </c>
      <c r="B322">
        <v>80</v>
      </c>
      <c r="C322" t="s">
        <v>12</v>
      </c>
      <c r="D322" s="1">
        <v>45661</v>
      </c>
      <c r="E322" s="1">
        <v>45662</v>
      </c>
      <c r="F322" t="s">
        <v>36</v>
      </c>
      <c r="G322" t="s">
        <v>33</v>
      </c>
      <c r="H322" t="s">
        <v>27</v>
      </c>
      <c r="I322">
        <v>14622</v>
      </c>
      <c r="J322" t="s">
        <v>28</v>
      </c>
      <c r="K322" t="s">
        <v>29</v>
      </c>
      <c r="L322">
        <f>Table1[[#This Row],[Discharge_Date]]-Table1[[#This Row],[Admission_Date]]</f>
        <v>1</v>
      </c>
      <c r="M322" t="str">
        <f>IF(Table1[[#This Row],[Treatment_Cost]]&gt;50000,"High","Standard")</f>
        <v>Standard</v>
      </c>
    </row>
    <row r="323" spans="1:13" x14ac:dyDescent="0.35">
      <c r="A323" t="s">
        <v>354</v>
      </c>
      <c r="B323">
        <v>73</v>
      </c>
      <c r="C323" t="s">
        <v>12</v>
      </c>
      <c r="D323" s="1">
        <v>45855</v>
      </c>
      <c r="E323" s="1">
        <v>45864</v>
      </c>
      <c r="F323" t="s">
        <v>48</v>
      </c>
      <c r="G323" t="s">
        <v>40</v>
      </c>
      <c r="H323" t="s">
        <v>15</v>
      </c>
      <c r="I323">
        <v>80419</v>
      </c>
      <c r="J323" t="s">
        <v>16</v>
      </c>
      <c r="K323" t="s">
        <v>22</v>
      </c>
      <c r="L323">
        <f>Table1[[#This Row],[Discharge_Date]]-Table1[[#This Row],[Admission_Date]]</f>
        <v>9</v>
      </c>
      <c r="M323" t="str">
        <f>IF(Table1[[#This Row],[Treatment_Cost]]&gt;50000,"High","Standard")</f>
        <v>High</v>
      </c>
    </row>
    <row r="324" spans="1:13" x14ac:dyDescent="0.35">
      <c r="A324" t="s">
        <v>355</v>
      </c>
      <c r="B324">
        <v>50</v>
      </c>
      <c r="C324" t="s">
        <v>12</v>
      </c>
      <c r="D324" s="1">
        <v>45713</v>
      </c>
      <c r="E324" s="1">
        <v>45716</v>
      </c>
      <c r="F324" t="s">
        <v>19</v>
      </c>
      <c r="G324" t="s">
        <v>26</v>
      </c>
      <c r="H324" t="s">
        <v>34</v>
      </c>
      <c r="I324">
        <v>93641</v>
      </c>
      <c r="J324" t="s">
        <v>28</v>
      </c>
      <c r="K324" t="s">
        <v>29</v>
      </c>
      <c r="L324">
        <f>Table1[[#This Row],[Discharge_Date]]-Table1[[#This Row],[Admission_Date]]</f>
        <v>3</v>
      </c>
      <c r="M324" t="str">
        <f>IF(Table1[[#This Row],[Treatment_Cost]]&gt;50000,"High","Standard")</f>
        <v>High</v>
      </c>
    </row>
    <row r="325" spans="1:13" x14ac:dyDescent="0.35">
      <c r="A325" t="s">
        <v>356</v>
      </c>
      <c r="B325">
        <v>51</v>
      </c>
      <c r="C325" t="s">
        <v>24</v>
      </c>
      <c r="D325" s="1">
        <v>45815</v>
      </c>
      <c r="E325" s="1">
        <v>45816</v>
      </c>
      <c r="F325" t="s">
        <v>48</v>
      </c>
      <c r="G325" t="s">
        <v>20</v>
      </c>
      <c r="H325" t="s">
        <v>31</v>
      </c>
      <c r="I325">
        <v>29643</v>
      </c>
      <c r="J325" t="s">
        <v>16</v>
      </c>
      <c r="K325" t="s">
        <v>29</v>
      </c>
      <c r="L325">
        <f>Table1[[#This Row],[Discharge_Date]]-Table1[[#This Row],[Admission_Date]]</f>
        <v>1</v>
      </c>
      <c r="M325" t="str">
        <f>IF(Table1[[#This Row],[Treatment_Cost]]&gt;50000,"High","Standard")</f>
        <v>Standard</v>
      </c>
    </row>
    <row r="326" spans="1:13" x14ac:dyDescent="0.35">
      <c r="A326" t="s">
        <v>357</v>
      </c>
      <c r="B326">
        <v>67</v>
      </c>
      <c r="C326" t="s">
        <v>24</v>
      </c>
      <c r="D326" s="1">
        <v>45939</v>
      </c>
      <c r="E326" s="1">
        <v>45945</v>
      </c>
      <c r="F326" t="s">
        <v>13</v>
      </c>
      <c r="G326" t="s">
        <v>20</v>
      </c>
      <c r="H326" t="s">
        <v>21</v>
      </c>
      <c r="I326">
        <v>67402</v>
      </c>
      <c r="J326" t="s">
        <v>16</v>
      </c>
      <c r="K326" t="s">
        <v>22</v>
      </c>
      <c r="L326">
        <f>Table1[[#This Row],[Discharge_Date]]-Table1[[#This Row],[Admission_Date]]</f>
        <v>6</v>
      </c>
      <c r="M326" t="str">
        <f>IF(Table1[[#This Row],[Treatment_Cost]]&gt;50000,"High","Standard")</f>
        <v>High</v>
      </c>
    </row>
    <row r="327" spans="1:13" x14ac:dyDescent="0.35">
      <c r="A327" t="s">
        <v>358</v>
      </c>
      <c r="B327">
        <v>47</v>
      </c>
      <c r="C327" t="s">
        <v>24</v>
      </c>
      <c r="D327" s="1">
        <v>45988</v>
      </c>
      <c r="E327" s="1">
        <v>45991</v>
      </c>
      <c r="F327" t="s">
        <v>19</v>
      </c>
      <c r="G327" t="s">
        <v>40</v>
      </c>
      <c r="H327" t="s">
        <v>27</v>
      </c>
      <c r="I327">
        <v>33390</v>
      </c>
      <c r="J327" t="s">
        <v>16</v>
      </c>
      <c r="K327" t="s">
        <v>17</v>
      </c>
      <c r="L327">
        <f>Table1[[#This Row],[Discharge_Date]]-Table1[[#This Row],[Admission_Date]]</f>
        <v>3</v>
      </c>
      <c r="M327" t="str">
        <f>IF(Table1[[#This Row],[Treatment_Cost]]&gt;50000,"High","Standard")</f>
        <v>Standard</v>
      </c>
    </row>
    <row r="328" spans="1:13" x14ac:dyDescent="0.35">
      <c r="A328" t="s">
        <v>359</v>
      </c>
      <c r="B328">
        <v>29</v>
      </c>
      <c r="C328" t="s">
        <v>12</v>
      </c>
      <c r="D328" s="1">
        <v>46011</v>
      </c>
      <c r="E328" s="1">
        <v>46014</v>
      </c>
      <c r="F328" t="s">
        <v>13</v>
      </c>
      <c r="G328" t="s">
        <v>40</v>
      </c>
      <c r="H328" t="s">
        <v>15</v>
      </c>
      <c r="I328">
        <v>9344</v>
      </c>
      <c r="J328" t="s">
        <v>16</v>
      </c>
      <c r="K328" t="s">
        <v>22</v>
      </c>
      <c r="L328">
        <f>Table1[[#This Row],[Discharge_Date]]-Table1[[#This Row],[Admission_Date]]</f>
        <v>3</v>
      </c>
      <c r="M328" t="str">
        <f>IF(Table1[[#This Row],[Treatment_Cost]]&gt;50000,"High","Standard")</f>
        <v>Standard</v>
      </c>
    </row>
    <row r="329" spans="1:13" x14ac:dyDescent="0.35">
      <c r="A329" t="s">
        <v>360</v>
      </c>
      <c r="B329">
        <v>63</v>
      </c>
      <c r="C329" t="s">
        <v>12</v>
      </c>
      <c r="D329" s="1">
        <v>45981</v>
      </c>
      <c r="E329" s="1">
        <v>45990</v>
      </c>
      <c r="F329" t="s">
        <v>19</v>
      </c>
      <c r="G329" t="s">
        <v>40</v>
      </c>
      <c r="H329" t="s">
        <v>31</v>
      </c>
      <c r="I329">
        <v>45330</v>
      </c>
      <c r="J329" t="s">
        <v>28</v>
      </c>
      <c r="K329" t="s">
        <v>29</v>
      </c>
      <c r="L329">
        <f>Table1[[#This Row],[Discharge_Date]]-Table1[[#This Row],[Admission_Date]]</f>
        <v>9</v>
      </c>
      <c r="M329" t="str">
        <f>IF(Table1[[#This Row],[Treatment_Cost]]&gt;50000,"High","Standard")</f>
        <v>Standard</v>
      </c>
    </row>
    <row r="330" spans="1:13" x14ac:dyDescent="0.35">
      <c r="A330" t="s">
        <v>361</v>
      </c>
      <c r="B330">
        <v>61</v>
      </c>
      <c r="C330" t="s">
        <v>12</v>
      </c>
      <c r="D330" s="1">
        <v>45753</v>
      </c>
      <c r="E330" s="1">
        <v>45758</v>
      </c>
      <c r="F330" t="s">
        <v>48</v>
      </c>
      <c r="G330" t="s">
        <v>14</v>
      </c>
      <c r="H330" t="s">
        <v>27</v>
      </c>
      <c r="I330">
        <v>39095</v>
      </c>
      <c r="J330" t="s">
        <v>28</v>
      </c>
      <c r="K330" t="s">
        <v>22</v>
      </c>
      <c r="L330">
        <f>Table1[[#This Row],[Discharge_Date]]-Table1[[#This Row],[Admission_Date]]</f>
        <v>5</v>
      </c>
      <c r="M330" t="str">
        <f>IF(Table1[[#This Row],[Treatment_Cost]]&gt;50000,"High","Standard")</f>
        <v>Standard</v>
      </c>
    </row>
    <row r="331" spans="1:13" x14ac:dyDescent="0.35">
      <c r="A331" t="s">
        <v>362</v>
      </c>
      <c r="B331">
        <v>78</v>
      </c>
      <c r="C331" t="s">
        <v>24</v>
      </c>
      <c r="D331" s="1">
        <v>45689</v>
      </c>
      <c r="E331" s="1">
        <v>45693</v>
      </c>
      <c r="F331" t="s">
        <v>13</v>
      </c>
      <c r="G331" t="s">
        <v>20</v>
      </c>
      <c r="H331" t="s">
        <v>31</v>
      </c>
      <c r="I331">
        <v>48266</v>
      </c>
      <c r="J331" t="s">
        <v>16</v>
      </c>
      <c r="K331" t="s">
        <v>22</v>
      </c>
      <c r="L331">
        <f>Table1[[#This Row],[Discharge_Date]]-Table1[[#This Row],[Admission_Date]]</f>
        <v>4</v>
      </c>
      <c r="M331" t="str">
        <f>IF(Table1[[#This Row],[Treatment_Cost]]&gt;50000,"High","Standard")</f>
        <v>Standard</v>
      </c>
    </row>
    <row r="332" spans="1:13" x14ac:dyDescent="0.35">
      <c r="A332" t="s">
        <v>363</v>
      </c>
      <c r="B332">
        <v>53</v>
      </c>
      <c r="C332" t="s">
        <v>24</v>
      </c>
      <c r="D332" s="1">
        <v>45941</v>
      </c>
      <c r="E332" s="1">
        <v>45943</v>
      </c>
      <c r="F332" t="s">
        <v>25</v>
      </c>
      <c r="G332" t="s">
        <v>40</v>
      </c>
      <c r="H332" t="s">
        <v>15</v>
      </c>
      <c r="I332">
        <v>8442</v>
      </c>
      <c r="J332" t="s">
        <v>16</v>
      </c>
      <c r="K332" t="s">
        <v>17</v>
      </c>
      <c r="L332">
        <f>Table1[[#This Row],[Discharge_Date]]-Table1[[#This Row],[Admission_Date]]</f>
        <v>2</v>
      </c>
      <c r="M332" t="str">
        <f>IF(Table1[[#This Row],[Treatment_Cost]]&gt;50000,"High","Standard")</f>
        <v>Standard</v>
      </c>
    </row>
    <row r="333" spans="1:13" x14ac:dyDescent="0.35">
      <c r="A333" t="s">
        <v>364</v>
      </c>
      <c r="B333">
        <v>37</v>
      </c>
      <c r="C333" t="s">
        <v>12</v>
      </c>
      <c r="D333" s="1">
        <v>45965</v>
      </c>
      <c r="E333" s="1">
        <v>45972</v>
      </c>
      <c r="F333" t="s">
        <v>13</v>
      </c>
      <c r="G333" t="s">
        <v>20</v>
      </c>
      <c r="H333" t="s">
        <v>34</v>
      </c>
      <c r="I333">
        <v>36443</v>
      </c>
      <c r="J333" t="s">
        <v>16</v>
      </c>
      <c r="K333" t="s">
        <v>22</v>
      </c>
      <c r="L333">
        <f>Table1[[#This Row],[Discharge_Date]]-Table1[[#This Row],[Admission_Date]]</f>
        <v>7</v>
      </c>
      <c r="M333" t="str">
        <f>IF(Table1[[#This Row],[Treatment_Cost]]&gt;50000,"High","Standard")</f>
        <v>Standard</v>
      </c>
    </row>
    <row r="334" spans="1:13" x14ac:dyDescent="0.35">
      <c r="A334" t="s">
        <v>365</v>
      </c>
      <c r="B334">
        <v>20</v>
      </c>
      <c r="C334" t="s">
        <v>24</v>
      </c>
      <c r="D334" s="1">
        <v>45779</v>
      </c>
      <c r="E334" s="1">
        <v>45788</v>
      </c>
      <c r="F334" t="s">
        <v>48</v>
      </c>
      <c r="G334" t="s">
        <v>33</v>
      </c>
      <c r="H334" t="s">
        <v>31</v>
      </c>
      <c r="I334">
        <v>70403</v>
      </c>
      <c r="J334" t="s">
        <v>16</v>
      </c>
      <c r="K334" t="s">
        <v>22</v>
      </c>
      <c r="L334">
        <f>Table1[[#This Row],[Discharge_Date]]-Table1[[#This Row],[Admission_Date]]</f>
        <v>9</v>
      </c>
      <c r="M334" t="str">
        <f>IF(Table1[[#This Row],[Treatment_Cost]]&gt;50000,"High","Standard")</f>
        <v>High</v>
      </c>
    </row>
    <row r="335" spans="1:13" x14ac:dyDescent="0.35">
      <c r="A335" t="s">
        <v>366</v>
      </c>
      <c r="B335">
        <v>31</v>
      </c>
      <c r="C335" t="s">
        <v>24</v>
      </c>
      <c r="D335" s="1">
        <v>45801</v>
      </c>
      <c r="E335" s="1">
        <v>45802</v>
      </c>
      <c r="F335" t="s">
        <v>25</v>
      </c>
      <c r="G335" t="s">
        <v>26</v>
      </c>
      <c r="H335" t="s">
        <v>34</v>
      </c>
      <c r="I335">
        <v>16779</v>
      </c>
      <c r="J335" t="s">
        <v>28</v>
      </c>
      <c r="K335" t="s">
        <v>17</v>
      </c>
      <c r="L335">
        <f>Table1[[#This Row],[Discharge_Date]]-Table1[[#This Row],[Admission_Date]]</f>
        <v>1</v>
      </c>
      <c r="M335" t="str">
        <f>IF(Table1[[#This Row],[Treatment_Cost]]&gt;50000,"High","Standard")</f>
        <v>Standard</v>
      </c>
    </row>
    <row r="336" spans="1:13" x14ac:dyDescent="0.35">
      <c r="A336" t="s">
        <v>367</v>
      </c>
      <c r="B336">
        <v>78</v>
      </c>
      <c r="C336" t="s">
        <v>12</v>
      </c>
      <c r="D336" s="1">
        <v>45831</v>
      </c>
      <c r="E336" s="1">
        <v>45838</v>
      </c>
      <c r="F336" t="s">
        <v>19</v>
      </c>
      <c r="G336" t="s">
        <v>33</v>
      </c>
      <c r="H336" t="s">
        <v>34</v>
      </c>
      <c r="I336">
        <v>96457</v>
      </c>
      <c r="J336" t="s">
        <v>16</v>
      </c>
      <c r="K336" t="s">
        <v>29</v>
      </c>
      <c r="L336">
        <f>Table1[[#This Row],[Discharge_Date]]-Table1[[#This Row],[Admission_Date]]</f>
        <v>7</v>
      </c>
      <c r="M336" t="str">
        <f>IF(Table1[[#This Row],[Treatment_Cost]]&gt;50000,"High","Standard")</f>
        <v>High</v>
      </c>
    </row>
    <row r="337" spans="1:13" x14ac:dyDescent="0.35">
      <c r="A337" t="s">
        <v>368</v>
      </c>
      <c r="B337">
        <v>51</v>
      </c>
      <c r="C337" t="s">
        <v>24</v>
      </c>
      <c r="D337" s="1">
        <v>45706</v>
      </c>
      <c r="E337" s="1">
        <v>45716</v>
      </c>
      <c r="F337" t="s">
        <v>13</v>
      </c>
      <c r="G337" t="s">
        <v>40</v>
      </c>
      <c r="H337" t="s">
        <v>21</v>
      </c>
      <c r="I337">
        <v>16063</v>
      </c>
      <c r="J337" t="s">
        <v>28</v>
      </c>
      <c r="K337" t="s">
        <v>17</v>
      </c>
      <c r="L337">
        <f>Table1[[#This Row],[Discharge_Date]]-Table1[[#This Row],[Admission_Date]]</f>
        <v>10</v>
      </c>
      <c r="M337" t="str">
        <f>IF(Table1[[#This Row],[Treatment_Cost]]&gt;50000,"High","Standard")</f>
        <v>Standard</v>
      </c>
    </row>
    <row r="338" spans="1:13" x14ac:dyDescent="0.35">
      <c r="A338" t="s">
        <v>369</v>
      </c>
      <c r="B338">
        <v>22</v>
      </c>
      <c r="C338" t="s">
        <v>24</v>
      </c>
      <c r="D338" s="1">
        <v>45875</v>
      </c>
      <c r="E338" s="1">
        <v>45884</v>
      </c>
      <c r="F338" t="s">
        <v>48</v>
      </c>
      <c r="G338" t="s">
        <v>26</v>
      </c>
      <c r="H338" t="s">
        <v>27</v>
      </c>
      <c r="I338">
        <v>9093</v>
      </c>
      <c r="J338" t="s">
        <v>28</v>
      </c>
      <c r="K338" t="s">
        <v>29</v>
      </c>
      <c r="L338">
        <f>Table1[[#This Row],[Discharge_Date]]-Table1[[#This Row],[Admission_Date]]</f>
        <v>9</v>
      </c>
      <c r="M338" t="str">
        <f>IF(Table1[[#This Row],[Treatment_Cost]]&gt;50000,"High","Standard")</f>
        <v>Standard</v>
      </c>
    </row>
    <row r="339" spans="1:13" x14ac:dyDescent="0.35">
      <c r="A339" t="s">
        <v>370</v>
      </c>
      <c r="B339">
        <v>62</v>
      </c>
      <c r="C339" t="s">
        <v>12</v>
      </c>
      <c r="D339" s="1">
        <v>45963</v>
      </c>
      <c r="E339" s="1">
        <v>45971</v>
      </c>
      <c r="F339" t="s">
        <v>19</v>
      </c>
      <c r="G339" t="s">
        <v>20</v>
      </c>
      <c r="H339" t="s">
        <v>31</v>
      </c>
      <c r="I339">
        <v>56844</v>
      </c>
      <c r="J339" t="s">
        <v>16</v>
      </c>
      <c r="K339" t="s">
        <v>17</v>
      </c>
      <c r="L339">
        <f>Table1[[#This Row],[Discharge_Date]]-Table1[[#This Row],[Admission_Date]]</f>
        <v>8</v>
      </c>
      <c r="M339" t="str">
        <f>IF(Table1[[#This Row],[Treatment_Cost]]&gt;50000,"High","Standard")</f>
        <v>High</v>
      </c>
    </row>
    <row r="340" spans="1:13" x14ac:dyDescent="0.35">
      <c r="A340" t="s">
        <v>371</v>
      </c>
      <c r="B340">
        <v>43</v>
      </c>
      <c r="C340" t="s">
        <v>12</v>
      </c>
      <c r="D340" s="1">
        <v>45973</v>
      </c>
      <c r="E340" s="1">
        <v>45980</v>
      </c>
      <c r="F340" t="s">
        <v>19</v>
      </c>
      <c r="G340" t="s">
        <v>14</v>
      </c>
      <c r="H340" t="s">
        <v>31</v>
      </c>
      <c r="I340">
        <v>56091</v>
      </c>
      <c r="J340" t="s">
        <v>28</v>
      </c>
      <c r="K340" t="s">
        <v>29</v>
      </c>
      <c r="L340">
        <f>Table1[[#This Row],[Discharge_Date]]-Table1[[#This Row],[Admission_Date]]</f>
        <v>7</v>
      </c>
      <c r="M340" t="str">
        <f>IF(Table1[[#This Row],[Treatment_Cost]]&gt;50000,"High","Standard")</f>
        <v>High</v>
      </c>
    </row>
    <row r="341" spans="1:13" x14ac:dyDescent="0.35">
      <c r="A341" t="s">
        <v>372</v>
      </c>
      <c r="B341">
        <v>50</v>
      </c>
      <c r="C341" t="s">
        <v>12</v>
      </c>
      <c r="D341" s="1">
        <v>45918</v>
      </c>
      <c r="E341" s="1">
        <v>45919</v>
      </c>
      <c r="F341" t="s">
        <v>36</v>
      </c>
      <c r="G341" t="s">
        <v>26</v>
      </c>
      <c r="H341" t="s">
        <v>21</v>
      </c>
      <c r="I341">
        <v>24900</v>
      </c>
      <c r="J341" t="s">
        <v>16</v>
      </c>
      <c r="K341" t="s">
        <v>29</v>
      </c>
      <c r="L341">
        <f>Table1[[#This Row],[Discharge_Date]]-Table1[[#This Row],[Admission_Date]]</f>
        <v>1</v>
      </c>
      <c r="M341" t="str">
        <f>IF(Table1[[#This Row],[Treatment_Cost]]&gt;50000,"High","Standard")</f>
        <v>Standard</v>
      </c>
    </row>
    <row r="342" spans="1:13" x14ac:dyDescent="0.35">
      <c r="A342" t="s">
        <v>373</v>
      </c>
      <c r="B342">
        <v>63</v>
      </c>
      <c r="C342" t="s">
        <v>24</v>
      </c>
      <c r="D342" s="1">
        <v>45768</v>
      </c>
      <c r="E342" s="1">
        <v>45774</v>
      </c>
      <c r="F342" t="s">
        <v>36</v>
      </c>
      <c r="G342" t="s">
        <v>20</v>
      </c>
      <c r="H342" t="s">
        <v>31</v>
      </c>
      <c r="I342">
        <v>64627</v>
      </c>
      <c r="J342" t="s">
        <v>28</v>
      </c>
      <c r="K342" t="s">
        <v>29</v>
      </c>
      <c r="L342">
        <f>Table1[[#This Row],[Discharge_Date]]-Table1[[#This Row],[Admission_Date]]</f>
        <v>6</v>
      </c>
      <c r="M342" t="str">
        <f>IF(Table1[[#This Row],[Treatment_Cost]]&gt;50000,"High","Standard")</f>
        <v>High</v>
      </c>
    </row>
    <row r="343" spans="1:13" x14ac:dyDescent="0.35">
      <c r="A343" t="s">
        <v>374</v>
      </c>
      <c r="B343">
        <v>47</v>
      </c>
      <c r="C343" t="s">
        <v>24</v>
      </c>
      <c r="D343" s="1">
        <v>45699</v>
      </c>
      <c r="E343" s="1">
        <v>45708</v>
      </c>
      <c r="F343" t="s">
        <v>19</v>
      </c>
      <c r="G343" t="s">
        <v>40</v>
      </c>
      <c r="H343" t="s">
        <v>15</v>
      </c>
      <c r="I343">
        <v>86860</v>
      </c>
      <c r="J343" t="s">
        <v>16</v>
      </c>
      <c r="K343" t="s">
        <v>22</v>
      </c>
      <c r="L343">
        <f>Table1[[#This Row],[Discharge_Date]]-Table1[[#This Row],[Admission_Date]]</f>
        <v>9</v>
      </c>
      <c r="M343" t="str">
        <f>IF(Table1[[#This Row],[Treatment_Cost]]&gt;50000,"High","Standard")</f>
        <v>High</v>
      </c>
    </row>
    <row r="344" spans="1:13" x14ac:dyDescent="0.35">
      <c r="A344" t="s">
        <v>375</v>
      </c>
      <c r="B344">
        <v>55</v>
      </c>
      <c r="C344" t="s">
        <v>24</v>
      </c>
      <c r="D344" s="1">
        <v>45819</v>
      </c>
      <c r="E344" s="1">
        <v>45824</v>
      </c>
      <c r="F344" t="s">
        <v>19</v>
      </c>
      <c r="G344" t="s">
        <v>14</v>
      </c>
      <c r="H344" t="s">
        <v>34</v>
      </c>
      <c r="I344">
        <v>19333</v>
      </c>
      <c r="J344" t="s">
        <v>28</v>
      </c>
      <c r="K344" t="s">
        <v>29</v>
      </c>
      <c r="L344">
        <f>Table1[[#This Row],[Discharge_Date]]-Table1[[#This Row],[Admission_Date]]</f>
        <v>5</v>
      </c>
      <c r="M344" t="str">
        <f>IF(Table1[[#This Row],[Treatment_Cost]]&gt;50000,"High","Standard")</f>
        <v>Standard</v>
      </c>
    </row>
    <row r="345" spans="1:13" x14ac:dyDescent="0.35">
      <c r="A345" t="s">
        <v>376</v>
      </c>
      <c r="B345">
        <v>63</v>
      </c>
      <c r="C345" t="s">
        <v>12</v>
      </c>
      <c r="D345" s="1">
        <v>45961</v>
      </c>
      <c r="E345" s="1">
        <v>45969</v>
      </c>
      <c r="F345" t="s">
        <v>48</v>
      </c>
      <c r="G345" t="s">
        <v>33</v>
      </c>
      <c r="H345" t="s">
        <v>15</v>
      </c>
      <c r="I345">
        <v>73341</v>
      </c>
      <c r="J345" t="s">
        <v>16</v>
      </c>
      <c r="K345" t="s">
        <v>22</v>
      </c>
      <c r="L345">
        <f>Table1[[#This Row],[Discharge_Date]]-Table1[[#This Row],[Admission_Date]]</f>
        <v>8</v>
      </c>
      <c r="M345" t="str">
        <f>IF(Table1[[#This Row],[Treatment_Cost]]&gt;50000,"High","Standard")</f>
        <v>High</v>
      </c>
    </row>
    <row r="346" spans="1:13" x14ac:dyDescent="0.35">
      <c r="A346" t="s">
        <v>377</v>
      </c>
      <c r="B346">
        <v>19</v>
      </c>
      <c r="C346" t="s">
        <v>24</v>
      </c>
      <c r="D346" s="1">
        <v>45674</v>
      </c>
      <c r="E346" s="1">
        <v>45675</v>
      </c>
      <c r="F346" t="s">
        <v>19</v>
      </c>
      <c r="G346" t="s">
        <v>40</v>
      </c>
      <c r="H346" t="s">
        <v>31</v>
      </c>
      <c r="I346">
        <v>69371</v>
      </c>
      <c r="J346" t="s">
        <v>28</v>
      </c>
      <c r="K346" t="s">
        <v>22</v>
      </c>
      <c r="L346">
        <f>Table1[[#This Row],[Discharge_Date]]-Table1[[#This Row],[Admission_Date]]</f>
        <v>1</v>
      </c>
      <c r="M346" t="str">
        <f>IF(Table1[[#This Row],[Treatment_Cost]]&gt;50000,"High","Standard")</f>
        <v>High</v>
      </c>
    </row>
    <row r="347" spans="1:13" x14ac:dyDescent="0.35">
      <c r="A347" t="s">
        <v>378</v>
      </c>
      <c r="B347">
        <v>22</v>
      </c>
      <c r="C347" t="s">
        <v>12</v>
      </c>
      <c r="D347" s="1">
        <v>45781</v>
      </c>
      <c r="E347" s="1">
        <v>45791</v>
      </c>
      <c r="F347" t="s">
        <v>36</v>
      </c>
      <c r="G347" t="s">
        <v>20</v>
      </c>
      <c r="H347" t="s">
        <v>15</v>
      </c>
      <c r="I347">
        <v>28695</v>
      </c>
      <c r="J347" t="s">
        <v>16</v>
      </c>
      <c r="K347" t="s">
        <v>17</v>
      </c>
      <c r="L347">
        <f>Table1[[#This Row],[Discharge_Date]]-Table1[[#This Row],[Admission_Date]]</f>
        <v>10</v>
      </c>
      <c r="M347" t="str">
        <f>IF(Table1[[#This Row],[Treatment_Cost]]&gt;50000,"High","Standard")</f>
        <v>Standard</v>
      </c>
    </row>
    <row r="348" spans="1:13" x14ac:dyDescent="0.35">
      <c r="A348" t="s">
        <v>379</v>
      </c>
      <c r="B348">
        <v>76</v>
      </c>
      <c r="C348" t="s">
        <v>12</v>
      </c>
      <c r="D348" s="1">
        <v>45933</v>
      </c>
      <c r="E348" s="1">
        <v>45936</v>
      </c>
      <c r="F348" t="s">
        <v>13</v>
      </c>
      <c r="G348" t="s">
        <v>20</v>
      </c>
      <c r="H348" t="s">
        <v>21</v>
      </c>
      <c r="I348">
        <v>64168</v>
      </c>
      <c r="J348" t="s">
        <v>28</v>
      </c>
      <c r="K348" t="s">
        <v>17</v>
      </c>
      <c r="L348">
        <f>Table1[[#This Row],[Discharge_Date]]-Table1[[#This Row],[Admission_Date]]</f>
        <v>3</v>
      </c>
      <c r="M348" t="str">
        <f>IF(Table1[[#This Row],[Treatment_Cost]]&gt;50000,"High","Standard")</f>
        <v>High</v>
      </c>
    </row>
    <row r="349" spans="1:13" x14ac:dyDescent="0.35">
      <c r="A349" t="s">
        <v>380</v>
      </c>
      <c r="B349">
        <v>30</v>
      </c>
      <c r="C349" t="s">
        <v>12</v>
      </c>
      <c r="D349" s="1">
        <v>45688</v>
      </c>
      <c r="E349" s="1">
        <v>45696</v>
      </c>
      <c r="F349" t="s">
        <v>36</v>
      </c>
      <c r="G349" t="s">
        <v>14</v>
      </c>
      <c r="H349" t="s">
        <v>31</v>
      </c>
      <c r="I349">
        <v>47438</v>
      </c>
      <c r="J349" t="s">
        <v>28</v>
      </c>
      <c r="K349" t="s">
        <v>17</v>
      </c>
      <c r="L349">
        <f>Table1[[#This Row],[Discharge_Date]]-Table1[[#This Row],[Admission_Date]]</f>
        <v>8</v>
      </c>
      <c r="M349" t="str">
        <f>IF(Table1[[#This Row],[Treatment_Cost]]&gt;50000,"High","Standard")</f>
        <v>Standard</v>
      </c>
    </row>
    <row r="350" spans="1:13" x14ac:dyDescent="0.35">
      <c r="A350" t="s">
        <v>381</v>
      </c>
      <c r="B350">
        <v>71</v>
      </c>
      <c r="C350" t="s">
        <v>12</v>
      </c>
      <c r="D350" s="1">
        <v>45994</v>
      </c>
      <c r="E350" s="1">
        <v>45996</v>
      </c>
      <c r="F350" t="s">
        <v>36</v>
      </c>
      <c r="G350" t="s">
        <v>33</v>
      </c>
      <c r="H350" t="s">
        <v>27</v>
      </c>
      <c r="I350">
        <v>8906</v>
      </c>
      <c r="J350" t="s">
        <v>28</v>
      </c>
      <c r="K350" t="s">
        <v>22</v>
      </c>
      <c r="L350">
        <f>Table1[[#This Row],[Discharge_Date]]-Table1[[#This Row],[Admission_Date]]</f>
        <v>2</v>
      </c>
      <c r="M350" t="str">
        <f>IF(Table1[[#This Row],[Treatment_Cost]]&gt;50000,"High","Standard")</f>
        <v>Standard</v>
      </c>
    </row>
    <row r="351" spans="1:13" x14ac:dyDescent="0.35">
      <c r="A351" t="s">
        <v>382</v>
      </c>
      <c r="B351">
        <v>43</v>
      </c>
      <c r="C351" t="s">
        <v>12</v>
      </c>
      <c r="D351" s="1">
        <v>45965</v>
      </c>
      <c r="E351" s="1">
        <v>45968</v>
      </c>
      <c r="F351" t="s">
        <v>19</v>
      </c>
      <c r="G351" t="s">
        <v>14</v>
      </c>
      <c r="H351" t="s">
        <v>21</v>
      </c>
      <c r="I351">
        <v>46766</v>
      </c>
      <c r="J351" t="s">
        <v>16</v>
      </c>
      <c r="K351" t="s">
        <v>29</v>
      </c>
      <c r="L351">
        <f>Table1[[#This Row],[Discharge_Date]]-Table1[[#This Row],[Admission_Date]]</f>
        <v>3</v>
      </c>
      <c r="M351" t="str">
        <f>IF(Table1[[#This Row],[Treatment_Cost]]&gt;50000,"High","Standard")</f>
        <v>Standard</v>
      </c>
    </row>
    <row r="352" spans="1:13" x14ac:dyDescent="0.35">
      <c r="A352" t="s">
        <v>383</v>
      </c>
      <c r="B352">
        <v>73</v>
      </c>
      <c r="C352" t="s">
        <v>12</v>
      </c>
      <c r="D352" s="1">
        <v>45815</v>
      </c>
      <c r="E352" s="1">
        <v>45821</v>
      </c>
      <c r="F352" t="s">
        <v>13</v>
      </c>
      <c r="G352" t="s">
        <v>26</v>
      </c>
      <c r="H352" t="s">
        <v>27</v>
      </c>
      <c r="I352">
        <v>39502</v>
      </c>
      <c r="J352" t="s">
        <v>28</v>
      </c>
      <c r="K352" t="s">
        <v>22</v>
      </c>
      <c r="L352">
        <f>Table1[[#This Row],[Discharge_Date]]-Table1[[#This Row],[Admission_Date]]</f>
        <v>6</v>
      </c>
      <c r="M352" t="str">
        <f>IF(Table1[[#This Row],[Treatment_Cost]]&gt;50000,"High","Standard")</f>
        <v>Standard</v>
      </c>
    </row>
    <row r="353" spans="1:13" x14ac:dyDescent="0.35">
      <c r="A353" t="s">
        <v>384</v>
      </c>
      <c r="B353">
        <v>56</v>
      </c>
      <c r="C353" t="s">
        <v>12</v>
      </c>
      <c r="D353" s="1">
        <v>45828</v>
      </c>
      <c r="E353" s="1">
        <v>45833</v>
      </c>
      <c r="F353" t="s">
        <v>13</v>
      </c>
      <c r="G353" t="s">
        <v>26</v>
      </c>
      <c r="H353" t="s">
        <v>21</v>
      </c>
      <c r="I353">
        <v>30384</v>
      </c>
      <c r="J353" t="s">
        <v>28</v>
      </c>
      <c r="K353" t="s">
        <v>17</v>
      </c>
      <c r="L353">
        <f>Table1[[#This Row],[Discharge_Date]]-Table1[[#This Row],[Admission_Date]]</f>
        <v>5</v>
      </c>
      <c r="M353" t="str">
        <f>IF(Table1[[#This Row],[Treatment_Cost]]&gt;50000,"High","Standard")</f>
        <v>Standard</v>
      </c>
    </row>
    <row r="354" spans="1:13" x14ac:dyDescent="0.35">
      <c r="A354" t="s">
        <v>385</v>
      </c>
      <c r="B354">
        <v>28</v>
      </c>
      <c r="C354" t="s">
        <v>24</v>
      </c>
      <c r="D354" s="1">
        <v>45783</v>
      </c>
      <c r="E354" s="1">
        <v>45788</v>
      </c>
      <c r="F354" t="s">
        <v>25</v>
      </c>
      <c r="G354" t="s">
        <v>14</v>
      </c>
      <c r="H354" t="s">
        <v>34</v>
      </c>
      <c r="I354">
        <v>72983</v>
      </c>
      <c r="J354" t="s">
        <v>16</v>
      </c>
      <c r="K354" t="s">
        <v>22</v>
      </c>
      <c r="L354">
        <f>Table1[[#This Row],[Discharge_Date]]-Table1[[#This Row],[Admission_Date]]</f>
        <v>5</v>
      </c>
      <c r="M354" t="str">
        <f>IF(Table1[[#This Row],[Treatment_Cost]]&gt;50000,"High","Standard")</f>
        <v>High</v>
      </c>
    </row>
    <row r="355" spans="1:13" x14ac:dyDescent="0.35">
      <c r="A355" t="s">
        <v>386</v>
      </c>
      <c r="B355">
        <v>29</v>
      </c>
      <c r="C355" t="s">
        <v>24</v>
      </c>
      <c r="D355" s="1">
        <v>45972</v>
      </c>
      <c r="E355" s="1">
        <v>45978</v>
      </c>
      <c r="F355" t="s">
        <v>36</v>
      </c>
      <c r="G355" t="s">
        <v>40</v>
      </c>
      <c r="H355" t="s">
        <v>27</v>
      </c>
      <c r="I355">
        <v>58943</v>
      </c>
      <c r="J355" t="s">
        <v>16</v>
      </c>
      <c r="K355" t="s">
        <v>17</v>
      </c>
      <c r="L355">
        <f>Table1[[#This Row],[Discharge_Date]]-Table1[[#This Row],[Admission_Date]]</f>
        <v>6</v>
      </c>
      <c r="M355" t="str">
        <f>IF(Table1[[#This Row],[Treatment_Cost]]&gt;50000,"High","Standard")</f>
        <v>High</v>
      </c>
    </row>
    <row r="356" spans="1:13" x14ac:dyDescent="0.35">
      <c r="A356" t="s">
        <v>387</v>
      </c>
      <c r="B356">
        <v>37</v>
      </c>
      <c r="C356" t="s">
        <v>24</v>
      </c>
      <c r="D356" s="1">
        <v>45819</v>
      </c>
      <c r="E356" s="1">
        <v>45829</v>
      </c>
      <c r="F356" t="s">
        <v>19</v>
      </c>
      <c r="G356" t="s">
        <v>40</v>
      </c>
      <c r="H356" t="s">
        <v>21</v>
      </c>
      <c r="I356">
        <v>16392</v>
      </c>
      <c r="J356" t="s">
        <v>28</v>
      </c>
      <c r="K356" t="s">
        <v>17</v>
      </c>
      <c r="L356">
        <f>Table1[[#This Row],[Discharge_Date]]-Table1[[#This Row],[Admission_Date]]</f>
        <v>10</v>
      </c>
      <c r="M356" t="str">
        <f>IF(Table1[[#This Row],[Treatment_Cost]]&gt;50000,"High","Standard")</f>
        <v>Standard</v>
      </c>
    </row>
    <row r="357" spans="1:13" x14ac:dyDescent="0.35">
      <c r="A357" t="s">
        <v>388</v>
      </c>
      <c r="B357">
        <v>30</v>
      </c>
      <c r="C357" t="s">
        <v>12</v>
      </c>
      <c r="D357" s="1">
        <v>45921</v>
      </c>
      <c r="E357" s="1">
        <v>45927</v>
      </c>
      <c r="F357" t="s">
        <v>48</v>
      </c>
      <c r="G357" t="s">
        <v>14</v>
      </c>
      <c r="H357" t="s">
        <v>27</v>
      </c>
      <c r="I357">
        <v>19221</v>
      </c>
      <c r="J357" t="s">
        <v>28</v>
      </c>
      <c r="K357" t="s">
        <v>17</v>
      </c>
      <c r="L357">
        <f>Table1[[#This Row],[Discharge_Date]]-Table1[[#This Row],[Admission_Date]]</f>
        <v>6</v>
      </c>
      <c r="M357" t="str">
        <f>IF(Table1[[#This Row],[Treatment_Cost]]&gt;50000,"High","Standard")</f>
        <v>Standard</v>
      </c>
    </row>
    <row r="358" spans="1:13" x14ac:dyDescent="0.35">
      <c r="A358" t="s">
        <v>389</v>
      </c>
      <c r="B358">
        <v>25</v>
      </c>
      <c r="C358" t="s">
        <v>12</v>
      </c>
      <c r="D358" s="1">
        <v>45763</v>
      </c>
      <c r="E358" s="1">
        <v>45764</v>
      </c>
      <c r="F358" t="s">
        <v>48</v>
      </c>
      <c r="G358" t="s">
        <v>33</v>
      </c>
      <c r="H358" t="s">
        <v>27</v>
      </c>
      <c r="I358">
        <v>56121</v>
      </c>
      <c r="J358" t="s">
        <v>16</v>
      </c>
      <c r="K358" t="s">
        <v>22</v>
      </c>
      <c r="L358">
        <f>Table1[[#This Row],[Discharge_Date]]-Table1[[#This Row],[Admission_Date]]</f>
        <v>1</v>
      </c>
      <c r="M358" t="str">
        <f>IF(Table1[[#This Row],[Treatment_Cost]]&gt;50000,"High","Standard")</f>
        <v>High</v>
      </c>
    </row>
    <row r="359" spans="1:13" x14ac:dyDescent="0.35">
      <c r="A359" t="s">
        <v>390</v>
      </c>
      <c r="B359">
        <v>28</v>
      </c>
      <c r="C359" t="s">
        <v>24</v>
      </c>
      <c r="D359" s="1">
        <v>45883</v>
      </c>
      <c r="E359" s="1">
        <v>45891</v>
      </c>
      <c r="F359" t="s">
        <v>25</v>
      </c>
      <c r="G359" t="s">
        <v>20</v>
      </c>
      <c r="H359" t="s">
        <v>21</v>
      </c>
      <c r="I359">
        <v>85702</v>
      </c>
      <c r="J359" t="s">
        <v>16</v>
      </c>
      <c r="K359" t="s">
        <v>17</v>
      </c>
      <c r="L359">
        <f>Table1[[#This Row],[Discharge_Date]]-Table1[[#This Row],[Admission_Date]]</f>
        <v>8</v>
      </c>
      <c r="M359" t="str">
        <f>IF(Table1[[#This Row],[Treatment_Cost]]&gt;50000,"High","Standard")</f>
        <v>High</v>
      </c>
    </row>
    <row r="360" spans="1:13" x14ac:dyDescent="0.35">
      <c r="A360" t="s">
        <v>391</v>
      </c>
      <c r="B360">
        <v>45</v>
      </c>
      <c r="C360" t="s">
        <v>24</v>
      </c>
      <c r="D360" s="1">
        <v>45807</v>
      </c>
      <c r="E360" s="1">
        <v>45812</v>
      </c>
      <c r="F360" t="s">
        <v>48</v>
      </c>
      <c r="G360" t="s">
        <v>20</v>
      </c>
      <c r="H360" t="s">
        <v>27</v>
      </c>
      <c r="I360">
        <v>5984</v>
      </c>
      <c r="J360" t="s">
        <v>16</v>
      </c>
      <c r="K360" t="s">
        <v>29</v>
      </c>
      <c r="L360">
        <f>Table1[[#This Row],[Discharge_Date]]-Table1[[#This Row],[Admission_Date]]</f>
        <v>5</v>
      </c>
      <c r="M360" t="str">
        <f>IF(Table1[[#This Row],[Treatment_Cost]]&gt;50000,"High","Standard")</f>
        <v>Standard</v>
      </c>
    </row>
    <row r="361" spans="1:13" x14ac:dyDescent="0.35">
      <c r="A361" t="s">
        <v>392</v>
      </c>
      <c r="B361">
        <v>59</v>
      </c>
      <c r="C361" t="s">
        <v>24</v>
      </c>
      <c r="D361" s="1">
        <v>45946</v>
      </c>
      <c r="E361" s="1">
        <v>45953</v>
      </c>
      <c r="F361" t="s">
        <v>36</v>
      </c>
      <c r="G361" t="s">
        <v>14</v>
      </c>
      <c r="H361" t="s">
        <v>31</v>
      </c>
      <c r="I361">
        <v>7069</v>
      </c>
      <c r="J361" t="s">
        <v>28</v>
      </c>
      <c r="K361" t="s">
        <v>22</v>
      </c>
      <c r="L361">
        <f>Table1[[#This Row],[Discharge_Date]]-Table1[[#This Row],[Admission_Date]]</f>
        <v>7</v>
      </c>
      <c r="M361" t="str">
        <f>IF(Table1[[#This Row],[Treatment_Cost]]&gt;50000,"High","Standard")</f>
        <v>Standard</v>
      </c>
    </row>
    <row r="362" spans="1:13" x14ac:dyDescent="0.35">
      <c r="A362" t="s">
        <v>393</v>
      </c>
      <c r="B362">
        <v>38</v>
      </c>
      <c r="C362" t="s">
        <v>12</v>
      </c>
      <c r="D362" s="1">
        <v>45692</v>
      </c>
      <c r="E362" s="1">
        <v>45698</v>
      </c>
      <c r="F362" t="s">
        <v>19</v>
      </c>
      <c r="G362" t="s">
        <v>26</v>
      </c>
      <c r="H362" t="s">
        <v>15</v>
      </c>
      <c r="I362">
        <v>37499</v>
      </c>
      <c r="J362" t="s">
        <v>16</v>
      </c>
      <c r="K362" t="s">
        <v>22</v>
      </c>
      <c r="L362">
        <f>Table1[[#This Row],[Discharge_Date]]-Table1[[#This Row],[Admission_Date]]</f>
        <v>6</v>
      </c>
      <c r="M362" t="str">
        <f>IF(Table1[[#This Row],[Treatment_Cost]]&gt;50000,"High","Standard")</f>
        <v>Standard</v>
      </c>
    </row>
    <row r="363" spans="1:13" x14ac:dyDescent="0.35">
      <c r="A363" t="s">
        <v>394</v>
      </c>
      <c r="B363">
        <v>60</v>
      </c>
      <c r="C363" t="s">
        <v>12</v>
      </c>
      <c r="D363" s="1">
        <v>45825</v>
      </c>
      <c r="E363" s="1">
        <v>45828</v>
      </c>
      <c r="F363" t="s">
        <v>36</v>
      </c>
      <c r="G363" t="s">
        <v>26</v>
      </c>
      <c r="H363" t="s">
        <v>15</v>
      </c>
      <c r="I363">
        <v>80048</v>
      </c>
      <c r="J363" t="s">
        <v>16</v>
      </c>
      <c r="K363" t="s">
        <v>29</v>
      </c>
      <c r="L363">
        <f>Table1[[#This Row],[Discharge_Date]]-Table1[[#This Row],[Admission_Date]]</f>
        <v>3</v>
      </c>
      <c r="M363" t="str">
        <f>IF(Table1[[#This Row],[Treatment_Cost]]&gt;50000,"High","Standard")</f>
        <v>High</v>
      </c>
    </row>
    <row r="364" spans="1:13" x14ac:dyDescent="0.35">
      <c r="A364" t="s">
        <v>395</v>
      </c>
      <c r="B364">
        <v>47</v>
      </c>
      <c r="C364" t="s">
        <v>12</v>
      </c>
      <c r="D364" s="1">
        <v>45956</v>
      </c>
      <c r="E364" s="1">
        <v>45964</v>
      </c>
      <c r="F364" t="s">
        <v>13</v>
      </c>
      <c r="G364" t="s">
        <v>40</v>
      </c>
      <c r="H364" t="s">
        <v>27</v>
      </c>
      <c r="I364">
        <v>60538</v>
      </c>
      <c r="J364" t="s">
        <v>28</v>
      </c>
      <c r="K364" t="s">
        <v>22</v>
      </c>
      <c r="L364">
        <f>Table1[[#This Row],[Discharge_Date]]-Table1[[#This Row],[Admission_Date]]</f>
        <v>8</v>
      </c>
      <c r="M364" t="str">
        <f>IF(Table1[[#This Row],[Treatment_Cost]]&gt;50000,"High","Standard")</f>
        <v>High</v>
      </c>
    </row>
    <row r="365" spans="1:13" x14ac:dyDescent="0.35">
      <c r="A365" t="s">
        <v>396</v>
      </c>
      <c r="B365">
        <v>34</v>
      </c>
      <c r="C365" t="s">
        <v>12</v>
      </c>
      <c r="D365" s="1">
        <v>45898</v>
      </c>
      <c r="E365" s="1">
        <v>45899</v>
      </c>
      <c r="F365" t="s">
        <v>25</v>
      </c>
      <c r="G365" t="s">
        <v>40</v>
      </c>
      <c r="H365" t="s">
        <v>27</v>
      </c>
      <c r="I365">
        <v>39003</v>
      </c>
      <c r="J365" t="s">
        <v>16</v>
      </c>
      <c r="K365" t="s">
        <v>29</v>
      </c>
      <c r="L365">
        <f>Table1[[#This Row],[Discharge_Date]]-Table1[[#This Row],[Admission_Date]]</f>
        <v>1</v>
      </c>
      <c r="M365" t="str">
        <f>IF(Table1[[#This Row],[Treatment_Cost]]&gt;50000,"High","Standard")</f>
        <v>Standard</v>
      </c>
    </row>
    <row r="366" spans="1:13" x14ac:dyDescent="0.35">
      <c r="A366" t="s">
        <v>397</v>
      </c>
      <c r="B366">
        <v>53</v>
      </c>
      <c r="C366" t="s">
        <v>12</v>
      </c>
      <c r="D366" s="1">
        <v>45949</v>
      </c>
      <c r="E366" s="1">
        <v>45952</v>
      </c>
      <c r="F366" t="s">
        <v>25</v>
      </c>
      <c r="G366" t="s">
        <v>40</v>
      </c>
      <c r="H366" t="s">
        <v>21</v>
      </c>
      <c r="I366">
        <v>78820</v>
      </c>
      <c r="J366" t="s">
        <v>28</v>
      </c>
      <c r="K366" t="s">
        <v>22</v>
      </c>
      <c r="L366">
        <f>Table1[[#This Row],[Discharge_Date]]-Table1[[#This Row],[Admission_Date]]</f>
        <v>3</v>
      </c>
      <c r="M366" t="str">
        <f>IF(Table1[[#This Row],[Treatment_Cost]]&gt;50000,"High","Standard")</f>
        <v>High</v>
      </c>
    </row>
    <row r="367" spans="1:13" x14ac:dyDescent="0.35">
      <c r="A367" t="s">
        <v>398</v>
      </c>
      <c r="B367">
        <v>54</v>
      </c>
      <c r="C367" t="s">
        <v>24</v>
      </c>
      <c r="D367" s="1">
        <v>46008</v>
      </c>
      <c r="E367" s="1">
        <v>46012</v>
      </c>
      <c r="F367" t="s">
        <v>19</v>
      </c>
      <c r="G367" t="s">
        <v>20</v>
      </c>
      <c r="H367" t="s">
        <v>21</v>
      </c>
      <c r="I367">
        <v>75358</v>
      </c>
      <c r="J367" t="s">
        <v>16</v>
      </c>
      <c r="K367" t="s">
        <v>17</v>
      </c>
      <c r="L367">
        <f>Table1[[#This Row],[Discharge_Date]]-Table1[[#This Row],[Admission_Date]]</f>
        <v>4</v>
      </c>
      <c r="M367" t="str">
        <f>IF(Table1[[#This Row],[Treatment_Cost]]&gt;50000,"High","Standard")</f>
        <v>High</v>
      </c>
    </row>
    <row r="368" spans="1:13" x14ac:dyDescent="0.35">
      <c r="A368" t="s">
        <v>399</v>
      </c>
      <c r="B368">
        <v>62</v>
      </c>
      <c r="C368" t="s">
        <v>24</v>
      </c>
      <c r="D368" s="1">
        <v>45952</v>
      </c>
      <c r="E368" s="1">
        <v>45955</v>
      </c>
      <c r="F368" t="s">
        <v>19</v>
      </c>
      <c r="G368" t="s">
        <v>40</v>
      </c>
      <c r="H368" t="s">
        <v>34</v>
      </c>
      <c r="I368">
        <v>38233</v>
      </c>
      <c r="J368" t="s">
        <v>28</v>
      </c>
      <c r="K368" t="s">
        <v>22</v>
      </c>
      <c r="L368">
        <f>Table1[[#This Row],[Discharge_Date]]-Table1[[#This Row],[Admission_Date]]</f>
        <v>3</v>
      </c>
      <c r="M368" t="str">
        <f>IF(Table1[[#This Row],[Treatment_Cost]]&gt;50000,"High","Standard")</f>
        <v>Standard</v>
      </c>
    </row>
    <row r="369" spans="1:13" x14ac:dyDescent="0.35">
      <c r="A369" t="s">
        <v>400</v>
      </c>
      <c r="B369">
        <v>59</v>
      </c>
      <c r="C369" t="s">
        <v>12</v>
      </c>
      <c r="D369" s="1">
        <v>45965</v>
      </c>
      <c r="E369" s="1">
        <v>45967</v>
      </c>
      <c r="F369" t="s">
        <v>25</v>
      </c>
      <c r="G369" t="s">
        <v>33</v>
      </c>
      <c r="H369" t="s">
        <v>21</v>
      </c>
      <c r="I369">
        <v>13951</v>
      </c>
      <c r="J369" t="s">
        <v>28</v>
      </c>
      <c r="K369" t="s">
        <v>22</v>
      </c>
      <c r="L369">
        <f>Table1[[#This Row],[Discharge_Date]]-Table1[[#This Row],[Admission_Date]]</f>
        <v>2</v>
      </c>
      <c r="M369" t="str">
        <f>IF(Table1[[#This Row],[Treatment_Cost]]&gt;50000,"High","Standard")</f>
        <v>Standard</v>
      </c>
    </row>
    <row r="370" spans="1:13" x14ac:dyDescent="0.35">
      <c r="A370" t="s">
        <v>401</v>
      </c>
      <c r="B370">
        <v>38</v>
      </c>
      <c r="C370" t="s">
        <v>24</v>
      </c>
      <c r="D370" s="1">
        <v>45727</v>
      </c>
      <c r="E370" s="1">
        <v>45735</v>
      </c>
      <c r="F370" t="s">
        <v>19</v>
      </c>
      <c r="G370" t="s">
        <v>40</v>
      </c>
      <c r="H370" t="s">
        <v>34</v>
      </c>
      <c r="I370">
        <v>78552</v>
      </c>
      <c r="J370" t="s">
        <v>28</v>
      </c>
      <c r="K370" t="s">
        <v>17</v>
      </c>
      <c r="L370">
        <f>Table1[[#This Row],[Discharge_Date]]-Table1[[#This Row],[Admission_Date]]</f>
        <v>8</v>
      </c>
      <c r="M370" t="str">
        <f>IF(Table1[[#This Row],[Treatment_Cost]]&gt;50000,"High","Standard")</f>
        <v>High</v>
      </c>
    </row>
    <row r="371" spans="1:13" x14ac:dyDescent="0.35">
      <c r="A371" t="s">
        <v>402</v>
      </c>
      <c r="B371">
        <v>38</v>
      </c>
      <c r="C371" t="s">
        <v>24</v>
      </c>
      <c r="D371" s="1">
        <v>45708</v>
      </c>
      <c r="E371" s="1">
        <v>45714</v>
      </c>
      <c r="F371" t="s">
        <v>36</v>
      </c>
      <c r="G371" t="s">
        <v>14</v>
      </c>
      <c r="H371" t="s">
        <v>15</v>
      </c>
      <c r="I371">
        <v>94150</v>
      </c>
      <c r="J371" t="s">
        <v>28</v>
      </c>
      <c r="K371" t="s">
        <v>29</v>
      </c>
      <c r="L371">
        <f>Table1[[#This Row],[Discharge_Date]]-Table1[[#This Row],[Admission_Date]]</f>
        <v>6</v>
      </c>
      <c r="M371" t="str">
        <f>IF(Table1[[#This Row],[Treatment_Cost]]&gt;50000,"High","Standard")</f>
        <v>High</v>
      </c>
    </row>
    <row r="372" spans="1:13" x14ac:dyDescent="0.35">
      <c r="A372" t="s">
        <v>403</v>
      </c>
      <c r="B372">
        <v>20</v>
      </c>
      <c r="C372" t="s">
        <v>12</v>
      </c>
      <c r="D372" s="1">
        <v>45931</v>
      </c>
      <c r="E372" s="1">
        <v>45932</v>
      </c>
      <c r="F372" t="s">
        <v>13</v>
      </c>
      <c r="G372" t="s">
        <v>14</v>
      </c>
      <c r="H372" t="s">
        <v>34</v>
      </c>
      <c r="I372">
        <v>42725</v>
      </c>
      <c r="J372" t="s">
        <v>28</v>
      </c>
      <c r="K372" t="s">
        <v>22</v>
      </c>
      <c r="L372">
        <f>Table1[[#This Row],[Discharge_Date]]-Table1[[#This Row],[Admission_Date]]</f>
        <v>1</v>
      </c>
      <c r="M372" t="str">
        <f>IF(Table1[[#This Row],[Treatment_Cost]]&gt;50000,"High","Standard")</f>
        <v>Standard</v>
      </c>
    </row>
    <row r="373" spans="1:13" x14ac:dyDescent="0.35">
      <c r="A373" t="s">
        <v>404</v>
      </c>
      <c r="B373">
        <v>44</v>
      </c>
      <c r="C373" t="s">
        <v>24</v>
      </c>
      <c r="D373" s="1">
        <v>45838</v>
      </c>
      <c r="E373" s="1">
        <v>45844</v>
      </c>
      <c r="F373" t="s">
        <v>48</v>
      </c>
      <c r="G373" t="s">
        <v>20</v>
      </c>
      <c r="H373" t="s">
        <v>31</v>
      </c>
      <c r="I373">
        <v>30963</v>
      </c>
      <c r="J373" t="s">
        <v>28</v>
      </c>
      <c r="K373" t="s">
        <v>22</v>
      </c>
      <c r="L373">
        <f>Table1[[#This Row],[Discharge_Date]]-Table1[[#This Row],[Admission_Date]]</f>
        <v>6</v>
      </c>
      <c r="M373" t="str">
        <f>IF(Table1[[#This Row],[Treatment_Cost]]&gt;50000,"High","Standard")</f>
        <v>Standard</v>
      </c>
    </row>
    <row r="374" spans="1:13" x14ac:dyDescent="0.35">
      <c r="A374" t="s">
        <v>405</v>
      </c>
      <c r="B374">
        <v>25</v>
      </c>
      <c r="C374" t="s">
        <v>24</v>
      </c>
      <c r="D374" s="1">
        <v>45767</v>
      </c>
      <c r="E374" s="1">
        <v>45768</v>
      </c>
      <c r="F374" t="s">
        <v>19</v>
      </c>
      <c r="G374" t="s">
        <v>14</v>
      </c>
      <c r="H374" t="s">
        <v>34</v>
      </c>
      <c r="I374">
        <v>62156</v>
      </c>
      <c r="J374" t="s">
        <v>28</v>
      </c>
      <c r="K374" t="s">
        <v>22</v>
      </c>
      <c r="L374">
        <f>Table1[[#This Row],[Discharge_Date]]-Table1[[#This Row],[Admission_Date]]</f>
        <v>1</v>
      </c>
      <c r="M374" t="str">
        <f>IF(Table1[[#This Row],[Treatment_Cost]]&gt;50000,"High","Standard")</f>
        <v>High</v>
      </c>
    </row>
    <row r="375" spans="1:13" x14ac:dyDescent="0.35">
      <c r="A375" t="s">
        <v>406</v>
      </c>
      <c r="B375">
        <v>56</v>
      </c>
      <c r="C375" t="s">
        <v>12</v>
      </c>
      <c r="D375" s="1">
        <v>45859</v>
      </c>
      <c r="E375" s="1">
        <v>45867</v>
      </c>
      <c r="F375" t="s">
        <v>13</v>
      </c>
      <c r="G375" t="s">
        <v>20</v>
      </c>
      <c r="H375" t="s">
        <v>31</v>
      </c>
      <c r="I375">
        <v>68998</v>
      </c>
      <c r="J375" t="s">
        <v>16</v>
      </c>
      <c r="K375" t="s">
        <v>29</v>
      </c>
      <c r="L375">
        <f>Table1[[#This Row],[Discharge_Date]]-Table1[[#This Row],[Admission_Date]]</f>
        <v>8</v>
      </c>
      <c r="M375" t="str">
        <f>IF(Table1[[#This Row],[Treatment_Cost]]&gt;50000,"High","Standard")</f>
        <v>High</v>
      </c>
    </row>
    <row r="376" spans="1:13" x14ac:dyDescent="0.35">
      <c r="A376" t="s">
        <v>407</v>
      </c>
      <c r="B376">
        <v>48</v>
      </c>
      <c r="C376" t="s">
        <v>24</v>
      </c>
      <c r="D376" s="1">
        <v>45694</v>
      </c>
      <c r="E376" s="1">
        <v>45696</v>
      </c>
      <c r="F376" t="s">
        <v>48</v>
      </c>
      <c r="G376" t="s">
        <v>14</v>
      </c>
      <c r="H376" t="s">
        <v>34</v>
      </c>
      <c r="I376">
        <v>33348</v>
      </c>
      <c r="J376" t="s">
        <v>28</v>
      </c>
      <c r="K376" t="s">
        <v>17</v>
      </c>
      <c r="L376">
        <f>Table1[[#This Row],[Discharge_Date]]-Table1[[#This Row],[Admission_Date]]</f>
        <v>2</v>
      </c>
      <c r="M376" t="str">
        <f>IF(Table1[[#This Row],[Treatment_Cost]]&gt;50000,"High","Standard")</f>
        <v>Standard</v>
      </c>
    </row>
    <row r="377" spans="1:13" x14ac:dyDescent="0.35">
      <c r="A377" t="s">
        <v>408</v>
      </c>
      <c r="B377">
        <v>18</v>
      </c>
      <c r="C377" t="s">
        <v>12</v>
      </c>
      <c r="D377" s="1">
        <v>45713</v>
      </c>
      <c r="E377" s="1">
        <v>45722</v>
      </c>
      <c r="F377" t="s">
        <v>19</v>
      </c>
      <c r="G377" t="s">
        <v>14</v>
      </c>
      <c r="H377" t="s">
        <v>31</v>
      </c>
      <c r="I377">
        <v>32949</v>
      </c>
      <c r="J377" t="s">
        <v>16</v>
      </c>
      <c r="K377" t="s">
        <v>22</v>
      </c>
      <c r="L377">
        <f>Table1[[#This Row],[Discharge_Date]]-Table1[[#This Row],[Admission_Date]]</f>
        <v>9</v>
      </c>
      <c r="M377" t="str">
        <f>IF(Table1[[#This Row],[Treatment_Cost]]&gt;50000,"High","Standard")</f>
        <v>Standard</v>
      </c>
    </row>
    <row r="378" spans="1:13" x14ac:dyDescent="0.35">
      <c r="A378" t="s">
        <v>409</v>
      </c>
      <c r="B378">
        <v>37</v>
      </c>
      <c r="C378" t="s">
        <v>24</v>
      </c>
      <c r="D378" s="1">
        <v>45761</v>
      </c>
      <c r="E378" s="1">
        <v>45764</v>
      </c>
      <c r="F378" t="s">
        <v>36</v>
      </c>
      <c r="G378" t="s">
        <v>14</v>
      </c>
      <c r="H378" t="s">
        <v>21</v>
      </c>
      <c r="I378">
        <v>54443</v>
      </c>
      <c r="J378" t="s">
        <v>16</v>
      </c>
      <c r="K378" t="s">
        <v>29</v>
      </c>
      <c r="L378">
        <f>Table1[[#This Row],[Discharge_Date]]-Table1[[#This Row],[Admission_Date]]</f>
        <v>3</v>
      </c>
      <c r="M378" t="str">
        <f>IF(Table1[[#This Row],[Treatment_Cost]]&gt;50000,"High","Standard")</f>
        <v>High</v>
      </c>
    </row>
    <row r="379" spans="1:13" x14ac:dyDescent="0.35">
      <c r="A379" t="s">
        <v>410</v>
      </c>
      <c r="B379">
        <v>31</v>
      </c>
      <c r="C379" t="s">
        <v>12</v>
      </c>
      <c r="D379" s="1">
        <v>45971</v>
      </c>
      <c r="E379" s="1">
        <v>45974</v>
      </c>
      <c r="F379" t="s">
        <v>25</v>
      </c>
      <c r="G379" t="s">
        <v>33</v>
      </c>
      <c r="H379" t="s">
        <v>15</v>
      </c>
      <c r="I379">
        <v>79642</v>
      </c>
      <c r="J379" t="s">
        <v>16</v>
      </c>
      <c r="K379" t="s">
        <v>29</v>
      </c>
      <c r="L379">
        <f>Table1[[#This Row],[Discharge_Date]]-Table1[[#This Row],[Admission_Date]]</f>
        <v>3</v>
      </c>
      <c r="M379" t="str">
        <f>IF(Table1[[#This Row],[Treatment_Cost]]&gt;50000,"High","Standard")</f>
        <v>High</v>
      </c>
    </row>
    <row r="380" spans="1:13" x14ac:dyDescent="0.35">
      <c r="A380" t="s">
        <v>411</v>
      </c>
      <c r="B380">
        <v>32</v>
      </c>
      <c r="C380" t="s">
        <v>24</v>
      </c>
      <c r="D380" s="1">
        <v>45922</v>
      </c>
      <c r="E380" s="1">
        <v>45932</v>
      </c>
      <c r="F380" t="s">
        <v>13</v>
      </c>
      <c r="G380" t="s">
        <v>14</v>
      </c>
      <c r="H380" t="s">
        <v>31</v>
      </c>
      <c r="I380">
        <v>10308</v>
      </c>
      <c r="J380" t="s">
        <v>16</v>
      </c>
      <c r="K380" t="s">
        <v>22</v>
      </c>
      <c r="L380">
        <f>Table1[[#This Row],[Discharge_Date]]-Table1[[#This Row],[Admission_Date]]</f>
        <v>10</v>
      </c>
      <c r="M380" t="str">
        <f>IF(Table1[[#This Row],[Treatment_Cost]]&gt;50000,"High","Standard")</f>
        <v>Standard</v>
      </c>
    </row>
    <row r="381" spans="1:13" x14ac:dyDescent="0.35">
      <c r="A381" t="s">
        <v>412</v>
      </c>
      <c r="B381">
        <v>56</v>
      </c>
      <c r="C381" t="s">
        <v>24</v>
      </c>
      <c r="D381" s="1">
        <v>45781</v>
      </c>
      <c r="E381" s="1">
        <v>45784</v>
      </c>
      <c r="F381" t="s">
        <v>13</v>
      </c>
      <c r="G381" t="s">
        <v>14</v>
      </c>
      <c r="H381" t="s">
        <v>31</v>
      </c>
      <c r="I381">
        <v>50839</v>
      </c>
      <c r="J381" t="s">
        <v>28</v>
      </c>
      <c r="K381" t="s">
        <v>17</v>
      </c>
      <c r="L381">
        <f>Table1[[#This Row],[Discharge_Date]]-Table1[[#This Row],[Admission_Date]]</f>
        <v>3</v>
      </c>
      <c r="M381" t="str">
        <f>IF(Table1[[#This Row],[Treatment_Cost]]&gt;50000,"High","Standard")</f>
        <v>High</v>
      </c>
    </row>
    <row r="382" spans="1:13" x14ac:dyDescent="0.35">
      <c r="A382" t="s">
        <v>413</v>
      </c>
      <c r="B382">
        <v>77</v>
      </c>
      <c r="C382" t="s">
        <v>12</v>
      </c>
      <c r="D382" s="1">
        <v>45826</v>
      </c>
      <c r="E382" s="1">
        <v>45833</v>
      </c>
      <c r="F382" t="s">
        <v>19</v>
      </c>
      <c r="G382" t="s">
        <v>33</v>
      </c>
      <c r="H382" t="s">
        <v>34</v>
      </c>
      <c r="I382">
        <v>81869</v>
      </c>
      <c r="J382" t="s">
        <v>28</v>
      </c>
      <c r="K382" t="s">
        <v>29</v>
      </c>
      <c r="L382">
        <f>Table1[[#This Row],[Discharge_Date]]-Table1[[#This Row],[Admission_Date]]</f>
        <v>7</v>
      </c>
      <c r="M382" t="str">
        <f>IF(Table1[[#This Row],[Treatment_Cost]]&gt;50000,"High","Standard")</f>
        <v>High</v>
      </c>
    </row>
    <row r="383" spans="1:13" x14ac:dyDescent="0.35">
      <c r="A383" t="s">
        <v>414</v>
      </c>
      <c r="B383">
        <v>43</v>
      </c>
      <c r="C383" t="s">
        <v>12</v>
      </c>
      <c r="D383" s="1">
        <v>45734</v>
      </c>
      <c r="E383" s="1">
        <v>45740</v>
      </c>
      <c r="F383" t="s">
        <v>13</v>
      </c>
      <c r="G383" t="s">
        <v>33</v>
      </c>
      <c r="H383" t="s">
        <v>21</v>
      </c>
      <c r="I383">
        <v>22776</v>
      </c>
      <c r="J383" t="s">
        <v>28</v>
      </c>
      <c r="K383" t="s">
        <v>17</v>
      </c>
      <c r="L383">
        <f>Table1[[#This Row],[Discharge_Date]]-Table1[[#This Row],[Admission_Date]]</f>
        <v>6</v>
      </c>
      <c r="M383" t="str">
        <f>IF(Table1[[#This Row],[Treatment_Cost]]&gt;50000,"High","Standard")</f>
        <v>Standard</v>
      </c>
    </row>
    <row r="384" spans="1:13" x14ac:dyDescent="0.35">
      <c r="A384" t="s">
        <v>415</v>
      </c>
      <c r="B384">
        <v>32</v>
      </c>
      <c r="C384" t="s">
        <v>12</v>
      </c>
      <c r="D384" s="1">
        <v>45960</v>
      </c>
      <c r="E384" s="1">
        <v>45963</v>
      </c>
      <c r="F384" t="s">
        <v>48</v>
      </c>
      <c r="G384" t="s">
        <v>40</v>
      </c>
      <c r="H384" t="s">
        <v>15</v>
      </c>
      <c r="I384">
        <v>70210</v>
      </c>
      <c r="J384" t="s">
        <v>28</v>
      </c>
      <c r="K384" t="s">
        <v>17</v>
      </c>
      <c r="L384">
        <f>Table1[[#This Row],[Discharge_Date]]-Table1[[#This Row],[Admission_Date]]</f>
        <v>3</v>
      </c>
      <c r="M384" t="str">
        <f>IF(Table1[[#This Row],[Treatment_Cost]]&gt;50000,"High","Standard")</f>
        <v>High</v>
      </c>
    </row>
    <row r="385" spans="1:13" x14ac:dyDescent="0.35">
      <c r="A385" t="s">
        <v>416</v>
      </c>
      <c r="B385">
        <v>41</v>
      </c>
      <c r="C385" t="s">
        <v>12</v>
      </c>
      <c r="D385" s="1">
        <v>45952</v>
      </c>
      <c r="E385" s="1">
        <v>45954</v>
      </c>
      <c r="F385" t="s">
        <v>25</v>
      </c>
      <c r="G385" t="s">
        <v>14</v>
      </c>
      <c r="H385" t="s">
        <v>21</v>
      </c>
      <c r="I385">
        <v>34931</v>
      </c>
      <c r="J385" t="s">
        <v>28</v>
      </c>
      <c r="K385" t="s">
        <v>22</v>
      </c>
      <c r="L385">
        <f>Table1[[#This Row],[Discharge_Date]]-Table1[[#This Row],[Admission_Date]]</f>
        <v>2</v>
      </c>
      <c r="M385" t="str">
        <f>IF(Table1[[#This Row],[Treatment_Cost]]&gt;50000,"High","Standard")</f>
        <v>Standard</v>
      </c>
    </row>
    <row r="386" spans="1:13" x14ac:dyDescent="0.35">
      <c r="A386" t="s">
        <v>417</v>
      </c>
      <c r="B386">
        <v>66</v>
      </c>
      <c r="C386" t="s">
        <v>12</v>
      </c>
      <c r="D386" s="1">
        <v>45718</v>
      </c>
      <c r="E386" s="1">
        <v>45721</v>
      </c>
      <c r="F386" t="s">
        <v>25</v>
      </c>
      <c r="G386" t="s">
        <v>40</v>
      </c>
      <c r="H386" t="s">
        <v>31</v>
      </c>
      <c r="I386">
        <v>11620</v>
      </c>
      <c r="J386" t="s">
        <v>28</v>
      </c>
      <c r="K386" t="s">
        <v>22</v>
      </c>
      <c r="L386">
        <f>Table1[[#This Row],[Discharge_Date]]-Table1[[#This Row],[Admission_Date]]</f>
        <v>3</v>
      </c>
      <c r="M386" t="str">
        <f>IF(Table1[[#This Row],[Treatment_Cost]]&gt;50000,"High","Standard")</f>
        <v>Standard</v>
      </c>
    </row>
    <row r="387" spans="1:13" x14ac:dyDescent="0.35">
      <c r="A387" t="s">
        <v>418</v>
      </c>
      <c r="B387">
        <v>49</v>
      </c>
      <c r="C387" t="s">
        <v>12</v>
      </c>
      <c r="D387" s="1">
        <v>45908</v>
      </c>
      <c r="E387" s="1">
        <v>45911</v>
      </c>
      <c r="F387" t="s">
        <v>19</v>
      </c>
      <c r="G387" t="s">
        <v>40</v>
      </c>
      <c r="H387" t="s">
        <v>21</v>
      </c>
      <c r="I387">
        <v>39645</v>
      </c>
      <c r="J387" t="s">
        <v>16</v>
      </c>
      <c r="K387" t="s">
        <v>17</v>
      </c>
      <c r="L387">
        <f>Table1[[#This Row],[Discharge_Date]]-Table1[[#This Row],[Admission_Date]]</f>
        <v>3</v>
      </c>
      <c r="M387" t="str">
        <f>IF(Table1[[#This Row],[Treatment_Cost]]&gt;50000,"High","Standard")</f>
        <v>Standard</v>
      </c>
    </row>
    <row r="388" spans="1:13" x14ac:dyDescent="0.35">
      <c r="A388" t="s">
        <v>419</v>
      </c>
      <c r="B388">
        <v>19</v>
      </c>
      <c r="C388" t="s">
        <v>24</v>
      </c>
      <c r="D388" s="1">
        <v>45849</v>
      </c>
      <c r="E388" s="1">
        <v>45857</v>
      </c>
      <c r="F388" t="s">
        <v>13</v>
      </c>
      <c r="G388" t="s">
        <v>20</v>
      </c>
      <c r="H388" t="s">
        <v>34</v>
      </c>
      <c r="I388">
        <v>94505</v>
      </c>
      <c r="J388" t="s">
        <v>28</v>
      </c>
      <c r="K388" t="s">
        <v>22</v>
      </c>
      <c r="L388">
        <f>Table1[[#This Row],[Discharge_Date]]-Table1[[#This Row],[Admission_Date]]</f>
        <v>8</v>
      </c>
      <c r="M388" t="str">
        <f>IF(Table1[[#This Row],[Treatment_Cost]]&gt;50000,"High","Standard")</f>
        <v>High</v>
      </c>
    </row>
    <row r="389" spans="1:13" x14ac:dyDescent="0.35">
      <c r="A389" t="s">
        <v>420</v>
      </c>
      <c r="B389">
        <v>61</v>
      </c>
      <c r="C389" t="s">
        <v>12</v>
      </c>
      <c r="D389" s="1">
        <v>45893</v>
      </c>
      <c r="E389" s="1">
        <v>45897</v>
      </c>
      <c r="F389" t="s">
        <v>19</v>
      </c>
      <c r="G389" t="s">
        <v>20</v>
      </c>
      <c r="H389" t="s">
        <v>34</v>
      </c>
      <c r="I389">
        <v>59288</v>
      </c>
      <c r="J389" t="s">
        <v>16</v>
      </c>
      <c r="K389" t="s">
        <v>17</v>
      </c>
      <c r="L389">
        <f>Table1[[#This Row],[Discharge_Date]]-Table1[[#This Row],[Admission_Date]]</f>
        <v>4</v>
      </c>
      <c r="M389" t="str">
        <f>IF(Table1[[#This Row],[Treatment_Cost]]&gt;50000,"High","Standard")</f>
        <v>High</v>
      </c>
    </row>
    <row r="390" spans="1:13" x14ac:dyDescent="0.35">
      <c r="A390" t="s">
        <v>421</v>
      </c>
      <c r="B390">
        <v>74</v>
      </c>
      <c r="C390" t="s">
        <v>12</v>
      </c>
      <c r="D390" s="1">
        <v>45735</v>
      </c>
      <c r="E390" s="1">
        <v>45742</v>
      </c>
      <c r="F390" t="s">
        <v>13</v>
      </c>
      <c r="G390" t="s">
        <v>26</v>
      </c>
      <c r="H390" t="s">
        <v>15</v>
      </c>
      <c r="I390">
        <v>85199</v>
      </c>
      <c r="J390" t="s">
        <v>28</v>
      </c>
      <c r="K390" t="s">
        <v>22</v>
      </c>
      <c r="L390">
        <f>Table1[[#This Row],[Discharge_Date]]-Table1[[#This Row],[Admission_Date]]</f>
        <v>7</v>
      </c>
      <c r="M390" t="str">
        <f>IF(Table1[[#This Row],[Treatment_Cost]]&gt;50000,"High","Standard")</f>
        <v>High</v>
      </c>
    </row>
    <row r="391" spans="1:13" x14ac:dyDescent="0.35">
      <c r="A391" t="s">
        <v>422</v>
      </c>
      <c r="B391">
        <v>71</v>
      </c>
      <c r="C391" t="s">
        <v>24</v>
      </c>
      <c r="D391" s="1">
        <v>45710</v>
      </c>
      <c r="E391" s="1">
        <v>45716</v>
      </c>
      <c r="F391" t="s">
        <v>25</v>
      </c>
      <c r="G391" t="s">
        <v>20</v>
      </c>
      <c r="H391" t="s">
        <v>31</v>
      </c>
      <c r="I391">
        <v>23832</v>
      </c>
      <c r="J391" t="s">
        <v>28</v>
      </c>
      <c r="K391" t="s">
        <v>22</v>
      </c>
      <c r="L391">
        <f>Table1[[#This Row],[Discharge_Date]]-Table1[[#This Row],[Admission_Date]]</f>
        <v>6</v>
      </c>
      <c r="M391" t="str">
        <f>IF(Table1[[#This Row],[Treatment_Cost]]&gt;50000,"High","Standard")</f>
        <v>Standard</v>
      </c>
    </row>
    <row r="392" spans="1:13" x14ac:dyDescent="0.35">
      <c r="A392" t="s">
        <v>423</v>
      </c>
      <c r="B392">
        <v>61</v>
      </c>
      <c r="C392" t="s">
        <v>24</v>
      </c>
      <c r="D392" s="1">
        <v>45986</v>
      </c>
      <c r="E392" s="1">
        <v>45990</v>
      </c>
      <c r="F392" t="s">
        <v>25</v>
      </c>
      <c r="G392" t="s">
        <v>40</v>
      </c>
      <c r="H392" t="s">
        <v>21</v>
      </c>
      <c r="I392">
        <v>68553</v>
      </c>
      <c r="J392" t="s">
        <v>28</v>
      </c>
      <c r="K392" t="s">
        <v>17</v>
      </c>
      <c r="L392">
        <f>Table1[[#This Row],[Discharge_Date]]-Table1[[#This Row],[Admission_Date]]</f>
        <v>4</v>
      </c>
      <c r="M392" t="str">
        <f>IF(Table1[[#This Row],[Treatment_Cost]]&gt;50000,"High","Standard")</f>
        <v>High</v>
      </c>
    </row>
    <row r="393" spans="1:13" x14ac:dyDescent="0.35">
      <c r="A393" t="s">
        <v>424</v>
      </c>
      <c r="B393">
        <v>32</v>
      </c>
      <c r="C393" t="s">
        <v>12</v>
      </c>
      <c r="D393" s="1">
        <v>45938</v>
      </c>
      <c r="E393" s="1">
        <v>45943</v>
      </c>
      <c r="F393" t="s">
        <v>19</v>
      </c>
      <c r="G393" t="s">
        <v>14</v>
      </c>
      <c r="H393" t="s">
        <v>15</v>
      </c>
      <c r="I393">
        <v>61335</v>
      </c>
      <c r="J393" t="s">
        <v>28</v>
      </c>
      <c r="K393" t="s">
        <v>29</v>
      </c>
      <c r="L393">
        <f>Table1[[#This Row],[Discharge_Date]]-Table1[[#This Row],[Admission_Date]]</f>
        <v>5</v>
      </c>
      <c r="M393" t="str">
        <f>IF(Table1[[#This Row],[Treatment_Cost]]&gt;50000,"High","Standard")</f>
        <v>High</v>
      </c>
    </row>
    <row r="394" spans="1:13" x14ac:dyDescent="0.35">
      <c r="A394" t="s">
        <v>425</v>
      </c>
      <c r="B394">
        <v>51</v>
      </c>
      <c r="C394" t="s">
        <v>12</v>
      </c>
      <c r="D394" s="1">
        <v>45811</v>
      </c>
      <c r="E394" s="1">
        <v>45820</v>
      </c>
      <c r="F394" t="s">
        <v>19</v>
      </c>
      <c r="G394" t="s">
        <v>20</v>
      </c>
      <c r="H394" t="s">
        <v>21</v>
      </c>
      <c r="I394">
        <v>27900</v>
      </c>
      <c r="J394" t="s">
        <v>16</v>
      </c>
      <c r="K394" t="s">
        <v>17</v>
      </c>
      <c r="L394">
        <f>Table1[[#This Row],[Discharge_Date]]-Table1[[#This Row],[Admission_Date]]</f>
        <v>9</v>
      </c>
      <c r="M394" t="str">
        <f>IF(Table1[[#This Row],[Treatment_Cost]]&gt;50000,"High","Standard")</f>
        <v>Standard</v>
      </c>
    </row>
    <row r="395" spans="1:13" x14ac:dyDescent="0.35">
      <c r="A395" t="s">
        <v>426</v>
      </c>
      <c r="B395">
        <v>32</v>
      </c>
      <c r="C395" t="s">
        <v>12</v>
      </c>
      <c r="D395" s="1">
        <v>45959</v>
      </c>
      <c r="E395" s="1">
        <v>45965</v>
      </c>
      <c r="F395" t="s">
        <v>36</v>
      </c>
      <c r="G395" t="s">
        <v>40</v>
      </c>
      <c r="H395" t="s">
        <v>34</v>
      </c>
      <c r="I395">
        <v>28952</v>
      </c>
      <c r="J395" t="s">
        <v>28</v>
      </c>
      <c r="K395" t="s">
        <v>29</v>
      </c>
      <c r="L395">
        <f>Table1[[#This Row],[Discharge_Date]]-Table1[[#This Row],[Admission_Date]]</f>
        <v>6</v>
      </c>
      <c r="M395" t="str">
        <f>IF(Table1[[#This Row],[Treatment_Cost]]&gt;50000,"High","Standard")</f>
        <v>Standard</v>
      </c>
    </row>
    <row r="396" spans="1:13" x14ac:dyDescent="0.35">
      <c r="A396" t="s">
        <v>427</v>
      </c>
      <c r="B396">
        <v>56</v>
      </c>
      <c r="C396" t="s">
        <v>24</v>
      </c>
      <c r="D396" s="1">
        <v>45976</v>
      </c>
      <c r="E396" s="1">
        <v>45985</v>
      </c>
      <c r="F396" t="s">
        <v>19</v>
      </c>
      <c r="G396" t="s">
        <v>14</v>
      </c>
      <c r="H396" t="s">
        <v>15</v>
      </c>
      <c r="I396">
        <v>45870</v>
      </c>
      <c r="J396" t="s">
        <v>16</v>
      </c>
      <c r="K396" t="s">
        <v>29</v>
      </c>
      <c r="L396">
        <f>Table1[[#This Row],[Discharge_Date]]-Table1[[#This Row],[Admission_Date]]</f>
        <v>9</v>
      </c>
      <c r="M396" t="str">
        <f>IF(Table1[[#This Row],[Treatment_Cost]]&gt;50000,"High","Standard")</f>
        <v>Standard</v>
      </c>
    </row>
    <row r="397" spans="1:13" x14ac:dyDescent="0.35">
      <c r="A397" t="s">
        <v>428</v>
      </c>
      <c r="B397">
        <v>74</v>
      </c>
      <c r="C397" t="s">
        <v>24</v>
      </c>
      <c r="D397" s="1">
        <v>45679</v>
      </c>
      <c r="E397" s="1">
        <v>45687</v>
      </c>
      <c r="F397" t="s">
        <v>48</v>
      </c>
      <c r="G397" t="s">
        <v>26</v>
      </c>
      <c r="H397" t="s">
        <v>27</v>
      </c>
      <c r="I397">
        <v>84776</v>
      </c>
      <c r="J397" t="s">
        <v>28</v>
      </c>
      <c r="K397" t="s">
        <v>17</v>
      </c>
      <c r="L397">
        <f>Table1[[#This Row],[Discharge_Date]]-Table1[[#This Row],[Admission_Date]]</f>
        <v>8</v>
      </c>
      <c r="M397" t="str">
        <f>IF(Table1[[#This Row],[Treatment_Cost]]&gt;50000,"High","Standard")</f>
        <v>High</v>
      </c>
    </row>
    <row r="398" spans="1:13" x14ac:dyDescent="0.35">
      <c r="A398" t="s">
        <v>429</v>
      </c>
      <c r="B398">
        <v>56</v>
      </c>
      <c r="C398" t="s">
        <v>24</v>
      </c>
      <c r="D398" s="1">
        <v>45694</v>
      </c>
      <c r="E398" s="1">
        <v>45695</v>
      </c>
      <c r="F398" t="s">
        <v>25</v>
      </c>
      <c r="G398" t="s">
        <v>40</v>
      </c>
      <c r="H398" t="s">
        <v>15</v>
      </c>
      <c r="I398">
        <v>21177</v>
      </c>
      <c r="J398" t="s">
        <v>16</v>
      </c>
      <c r="K398" t="s">
        <v>29</v>
      </c>
      <c r="L398">
        <f>Table1[[#This Row],[Discharge_Date]]-Table1[[#This Row],[Admission_Date]]</f>
        <v>1</v>
      </c>
      <c r="M398" t="str">
        <f>IF(Table1[[#This Row],[Treatment_Cost]]&gt;50000,"High","Standard")</f>
        <v>Standard</v>
      </c>
    </row>
    <row r="399" spans="1:13" x14ac:dyDescent="0.35">
      <c r="A399" t="s">
        <v>430</v>
      </c>
      <c r="B399">
        <v>75</v>
      </c>
      <c r="C399" t="s">
        <v>24</v>
      </c>
      <c r="D399" s="1">
        <v>45811</v>
      </c>
      <c r="E399" s="1">
        <v>45820</v>
      </c>
      <c r="F399" t="s">
        <v>13</v>
      </c>
      <c r="G399" t="s">
        <v>40</v>
      </c>
      <c r="H399" t="s">
        <v>31</v>
      </c>
      <c r="I399">
        <v>81807</v>
      </c>
      <c r="J399" t="s">
        <v>28</v>
      </c>
      <c r="K399" t="s">
        <v>17</v>
      </c>
      <c r="L399">
        <f>Table1[[#This Row],[Discharge_Date]]-Table1[[#This Row],[Admission_Date]]</f>
        <v>9</v>
      </c>
      <c r="M399" t="str">
        <f>IF(Table1[[#This Row],[Treatment_Cost]]&gt;50000,"High","Standard")</f>
        <v>High</v>
      </c>
    </row>
    <row r="400" spans="1:13" x14ac:dyDescent="0.35">
      <c r="A400" t="s">
        <v>431</v>
      </c>
      <c r="B400">
        <v>50</v>
      </c>
      <c r="C400" t="s">
        <v>24</v>
      </c>
      <c r="D400" s="1">
        <v>46018</v>
      </c>
      <c r="E400" s="1">
        <v>46024</v>
      </c>
      <c r="F400" t="s">
        <v>48</v>
      </c>
      <c r="G400" t="s">
        <v>26</v>
      </c>
      <c r="H400" t="s">
        <v>34</v>
      </c>
      <c r="I400">
        <v>5250</v>
      </c>
      <c r="J400" t="s">
        <v>28</v>
      </c>
      <c r="K400" t="s">
        <v>17</v>
      </c>
      <c r="L400">
        <f>Table1[[#This Row],[Discharge_Date]]-Table1[[#This Row],[Admission_Date]]</f>
        <v>6</v>
      </c>
      <c r="M400" t="str">
        <f>IF(Table1[[#This Row],[Treatment_Cost]]&gt;50000,"High","Standard")</f>
        <v>Standard</v>
      </c>
    </row>
    <row r="401" spans="1:13" x14ac:dyDescent="0.35">
      <c r="A401" t="s">
        <v>432</v>
      </c>
      <c r="B401">
        <v>56</v>
      </c>
      <c r="C401" t="s">
        <v>12</v>
      </c>
      <c r="D401" s="1">
        <v>45898</v>
      </c>
      <c r="E401" s="1">
        <v>45906</v>
      </c>
      <c r="F401" t="s">
        <v>48</v>
      </c>
      <c r="G401" t="s">
        <v>20</v>
      </c>
      <c r="H401" t="s">
        <v>31</v>
      </c>
      <c r="I401">
        <v>35984</v>
      </c>
      <c r="J401" t="s">
        <v>28</v>
      </c>
      <c r="K401" t="s">
        <v>17</v>
      </c>
      <c r="L401">
        <f>Table1[[#This Row],[Discharge_Date]]-Table1[[#This Row],[Admission_Date]]</f>
        <v>8</v>
      </c>
      <c r="M401" t="str">
        <f>IF(Table1[[#This Row],[Treatment_Cost]]&gt;50000,"High","Standard")</f>
        <v>Standard</v>
      </c>
    </row>
    <row r="402" spans="1:13" x14ac:dyDescent="0.35">
      <c r="A402" t="s">
        <v>433</v>
      </c>
      <c r="B402">
        <v>80</v>
      </c>
      <c r="C402" t="s">
        <v>12</v>
      </c>
      <c r="D402" s="1">
        <v>45678</v>
      </c>
      <c r="E402" s="1">
        <v>45684</v>
      </c>
      <c r="F402" t="s">
        <v>13</v>
      </c>
      <c r="G402" t="s">
        <v>14</v>
      </c>
      <c r="H402" t="s">
        <v>15</v>
      </c>
      <c r="I402">
        <v>46862</v>
      </c>
      <c r="J402" t="s">
        <v>16</v>
      </c>
      <c r="K402" t="s">
        <v>29</v>
      </c>
      <c r="L402">
        <f>Table1[[#This Row],[Discharge_Date]]-Table1[[#This Row],[Admission_Date]]</f>
        <v>6</v>
      </c>
      <c r="M402" t="str">
        <f>IF(Table1[[#This Row],[Treatment_Cost]]&gt;50000,"High","Standard")</f>
        <v>Standard</v>
      </c>
    </row>
    <row r="403" spans="1:13" x14ac:dyDescent="0.35">
      <c r="A403" t="s">
        <v>434</v>
      </c>
      <c r="B403">
        <v>78</v>
      </c>
      <c r="C403" t="s">
        <v>24</v>
      </c>
      <c r="D403" s="1">
        <v>45868</v>
      </c>
      <c r="E403" s="1">
        <v>45875</v>
      </c>
      <c r="F403" t="s">
        <v>36</v>
      </c>
      <c r="G403" t="s">
        <v>40</v>
      </c>
      <c r="H403" t="s">
        <v>15</v>
      </c>
      <c r="I403">
        <v>48717</v>
      </c>
      <c r="J403" t="s">
        <v>28</v>
      </c>
      <c r="K403" t="s">
        <v>22</v>
      </c>
      <c r="L403">
        <f>Table1[[#This Row],[Discharge_Date]]-Table1[[#This Row],[Admission_Date]]</f>
        <v>7</v>
      </c>
      <c r="M403" t="str">
        <f>IF(Table1[[#This Row],[Treatment_Cost]]&gt;50000,"High","Standard")</f>
        <v>Standard</v>
      </c>
    </row>
    <row r="404" spans="1:13" x14ac:dyDescent="0.35">
      <c r="A404" t="s">
        <v>435</v>
      </c>
      <c r="B404">
        <v>80</v>
      </c>
      <c r="C404" t="s">
        <v>12</v>
      </c>
      <c r="D404" s="1">
        <v>45774</v>
      </c>
      <c r="E404" s="1">
        <v>45783</v>
      </c>
      <c r="F404" t="s">
        <v>13</v>
      </c>
      <c r="G404" t="s">
        <v>40</v>
      </c>
      <c r="H404" t="s">
        <v>31</v>
      </c>
      <c r="I404">
        <v>98580</v>
      </c>
      <c r="J404" t="s">
        <v>16</v>
      </c>
      <c r="K404" t="s">
        <v>17</v>
      </c>
      <c r="L404">
        <f>Table1[[#This Row],[Discharge_Date]]-Table1[[#This Row],[Admission_Date]]</f>
        <v>9</v>
      </c>
      <c r="M404" t="str">
        <f>IF(Table1[[#This Row],[Treatment_Cost]]&gt;50000,"High","Standard")</f>
        <v>High</v>
      </c>
    </row>
    <row r="405" spans="1:13" x14ac:dyDescent="0.35">
      <c r="A405" t="s">
        <v>436</v>
      </c>
      <c r="B405">
        <v>43</v>
      </c>
      <c r="C405" t="s">
        <v>24</v>
      </c>
      <c r="D405" s="1">
        <v>45666</v>
      </c>
      <c r="E405" s="1">
        <v>45675</v>
      </c>
      <c r="F405" t="s">
        <v>13</v>
      </c>
      <c r="G405" t="s">
        <v>33</v>
      </c>
      <c r="H405" t="s">
        <v>34</v>
      </c>
      <c r="I405">
        <v>6684</v>
      </c>
      <c r="J405" t="s">
        <v>16</v>
      </c>
      <c r="K405" t="s">
        <v>29</v>
      </c>
      <c r="L405">
        <f>Table1[[#This Row],[Discharge_Date]]-Table1[[#This Row],[Admission_Date]]</f>
        <v>9</v>
      </c>
      <c r="M405" t="str">
        <f>IF(Table1[[#This Row],[Treatment_Cost]]&gt;50000,"High","Standard")</f>
        <v>Standard</v>
      </c>
    </row>
    <row r="406" spans="1:13" x14ac:dyDescent="0.35">
      <c r="A406" t="s">
        <v>437</v>
      </c>
      <c r="B406">
        <v>62</v>
      </c>
      <c r="C406" t="s">
        <v>12</v>
      </c>
      <c r="D406" s="1">
        <v>45845</v>
      </c>
      <c r="E406" s="1">
        <v>45851</v>
      </c>
      <c r="F406" t="s">
        <v>19</v>
      </c>
      <c r="G406" t="s">
        <v>33</v>
      </c>
      <c r="H406" t="s">
        <v>21</v>
      </c>
      <c r="I406">
        <v>88139</v>
      </c>
      <c r="J406" t="s">
        <v>28</v>
      </c>
      <c r="K406" t="s">
        <v>22</v>
      </c>
      <c r="L406">
        <f>Table1[[#This Row],[Discharge_Date]]-Table1[[#This Row],[Admission_Date]]</f>
        <v>6</v>
      </c>
      <c r="M406" t="str">
        <f>IF(Table1[[#This Row],[Treatment_Cost]]&gt;50000,"High","Standard")</f>
        <v>High</v>
      </c>
    </row>
    <row r="407" spans="1:13" x14ac:dyDescent="0.35">
      <c r="A407" t="s">
        <v>438</v>
      </c>
      <c r="B407">
        <v>24</v>
      </c>
      <c r="C407" t="s">
        <v>12</v>
      </c>
      <c r="D407" s="1">
        <v>45753</v>
      </c>
      <c r="E407" s="1">
        <v>45755</v>
      </c>
      <c r="F407" t="s">
        <v>36</v>
      </c>
      <c r="G407" t="s">
        <v>40</v>
      </c>
      <c r="H407" t="s">
        <v>31</v>
      </c>
      <c r="I407">
        <v>23051</v>
      </c>
      <c r="J407" t="s">
        <v>28</v>
      </c>
      <c r="K407" t="s">
        <v>22</v>
      </c>
      <c r="L407">
        <f>Table1[[#This Row],[Discharge_Date]]-Table1[[#This Row],[Admission_Date]]</f>
        <v>2</v>
      </c>
      <c r="M407" t="str">
        <f>IF(Table1[[#This Row],[Treatment_Cost]]&gt;50000,"High","Standard")</f>
        <v>Standard</v>
      </c>
    </row>
    <row r="408" spans="1:13" x14ac:dyDescent="0.35">
      <c r="A408" t="s">
        <v>439</v>
      </c>
      <c r="B408">
        <v>60</v>
      </c>
      <c r="C408" t="s">
        <v>24</v>
      </c>
      <c r="D408" s="1">
        <v>45822</v>
      </c>
      <c r="E408" s="1">
        <v>45823</v>
      </c>
      <c r="F408" t="s">
        <v>25</v>
      </c>
      <c r="G408" t="s">
        <v>26</v>
      </c>
      <c r="H408" t="s">
        <v>27</v>
      </c>
      <c r="I408">
        <v>24768</v>
      </c>
      <c r="J408" t="s">
        <v>16</v>
      </c>
      <c r="K408" t="s">
        <v>22</v>
      </c>
      <c r="L408">
        <f>Table1[[#This Row],[Discharge_Date]]-Table1[[#This Row],[Admission_Date]]</f>
        <v>1</v>
      </c>
      <c r="M408" t="str">
        <f>IF(Table1[[#This Row],[Treatment_Cost]]&gt;50000,"High","Standard")</f>
        <v>Standard</v>
      </c>
    </row>
    <row r="409" spans="1:13" x14ac:dyDescent="0.35">
      <c r="A409" t="s">
        <v>440</v>
      </c>
      <c r="B409">
        <v>44</v>
      </c>
      <c r="C409" t="s">
        <v>12</v>
      </c>
      <c r="D409" s="1">
        <v>45769</v>
      </c>
      <c r="E409" s="1">
        <v>45771</v>
      </c>
      <c r="F409" t="s">
        <v>25</v>
      </c>
      <c r="G409" t="s">
        <v>26</v>
      </c>
      <c r="H409" t="s">
        <v>15</v>
      </c>
      <c r="I409">
        <v>31478</v>
      </c>
      <c r="J409" t="s">
        <v>28</v>
      </c>
      <c r="K409" t="s">
        <v>29</v>
      </c>
      <c r="L409">
        <f>Table1[[#This Row],[Discharge_Date]]-Table1[[#This Row],[Admission_Date]]</f>
        <v>2</v>
      </c>
      <c r="M409" t="str">
        <f>IF(Table1[[#This Row],[Treatment_Cost]]&gt;50000,"High","Standard")</f>
        <v>Standard</v>
      </c>
    </row>
    <row r="410" spans="1:13" x14ac:dyDescent="0.35">
      <c r="A410" t="s">
        <v>441</v>
      </c>
      <c r="B410">
        <v>22</v>
      </c>
      <c r="C410" t="s">
        <v>12</v>
      </c>
      <c r="D410" s="1">
        <v>45851</v>
      </c>
      <c r="E410" s="1">
        <v>45856</v>
      </c>
      <c r="F410" t="s">
        <v>13</v>
      </c>
      <c r="G410" t="s">
        <v>26</v>
      </c>
      <c r="H410" t="s">
        <v>31</v>
      </c>
      <c r="I410">
        <v>75334</v>
      </c>
      <c r="J410" t="s">
        <v>16</v>
      </c>
      <c r="K410" t="s">
        <v>29</v>
      </c>
      <c r="L410">
        <f>Table1[[#This Row],[Discharge_Date]]-Table1[[#This Row],[Admission_Date]]</f>
        <v>5</v>
      </c>
      <c r="M410" t="str">
        <f>IF(Table1[[#This Row],[Treatment_Cost]]&gt;50000,"High","Standard")</f>
        <v>High</v>
      </c>
    </row>
    <row r="411" spans="1:13" x14ac:dyDescent="0.35">
      <c r="A411" t="s">
        <v>442</v>
      </c>
      <c r="B411">
        <v>72</v>
      </c>
      <c r="C411" t="s">
        <v>12</v>
      </c>
      <c r="D411" s="1">
        <v>45915</v>
      </c>
      <c r="E411" s="1">
        <v>45922</v>
      </c>
      <c r="F411" t="s">
        <v>36</v>
      </c>
      <c r="G411" t="s">
        <v>40</v>
      </c>
      <c r="H411" t="s">
        <v>15</v>
      </c>
      <c r="I411">
        <v>38957</v>
      </c>
      <c r="J411" t="s">
        <v>28</v>
      </c>
      <c r="K411" t="s">
        <v>17</v>
      </c>
      <c r="L411">
        <f>Table1[[#This Row],[Discharge_Date]]-Table1[[#This Row],[Admission_Date]]</f>
        <v>7</v>
      </c>
      <c r="M411" t="str">
        <f>IF(Table1[[#This Row],[Treatment_Cost]]&gt;50000,"High","Standard")</f>
        <v>Standard</v>
      </c>
    </row>
    <row r="412" spans="1:13" x14ac:dyDescent="0.35">
      <c r="A412" t="s">
        <v>443</v>
      </c>
      <c r="B412">
        <v>57</v>
      </c>
      <c r="C412" t="s">
        <v>12</v>
      </c>
      <c r="D412" s="1">
        <v>45882</v>
      </c>
      <c r="E412" s="1">
        <v>45891</v>
      </c>
      <c r="F412" t="s">
        <v>36</v>
      </c>
      <c r="G412" t="s">
        <v>26</v>
      </c>
      <c r="H412" t="s">
        <v>21</v>
      </c>
      <c r="I412">
        <v>77075</v>
      </c>
      <c r="J412" t="s">
        <v>28</v>
      </c>
      <c r="K412" t="s">
        <v>22</v>
      </c>
      <c r="L412">
        <f>Table1[[#This Row],[Discharge_Date]]-Table1[[#This Row],[Admission_Date]]</f>
        <v>9</v>
      </c>
      <c r="M412" t="str">
        <f>IF(Table1[[#This Row],[Treatment_Cost]]&gt;50000,"High","Standard")</f>
        <v>High</v>
      </c>
    </row>
    <row r="413" spans="1:13" x14ac:dyDescent="0.35">
      <c r="A413" t="s">
        <v>444</v>
      </c>
      <c r="B413">
        <v>49</v>
      </c>
      <c r="C413" t="s">
        <v>12</v>
      </c>
      <c r="D413" s="1">
        <v>45864</v>
      </c>
      <c r="E413" s="1">
        <v>45866</v>
      </c>
      <c r="F413" t="s">
        <v>25</v>
      </c>
      <c r="G413" t="s">
        <v>20</v>
      </c>
      <c r="H413" t="s">
        <v>15</v>
      </c>
      <c r="I413">
        <v>50653</v>
      </c>
      <c r="J413" t="s">
        <v>28</v>
      </c>
      <c r="K413" t="s">
        <v>17</v>
      </c>
      <c r="L413">
        <f>Table1[[#This Row],[Discharge_Date]]-Table1[[#This Row],[Admission_Date]]</f>
        <v>2</v>
      </c>
      <c r="M413" t="str">
        <f>IF(Table1[[#This Row],[Treatment_Cost]]&gt;50000,"High","Standard")</f>
        <v>High</v>
      </c>
    </row>
    <row r="414" spans="1:13" x14ac:dyDescent="0.35">
      <c r="A414" t="s">
        <v>445</v>
      </c>
      <c r="B414">
        <v>67</v>
      </c>
      <c r="C414" t="s">
        <v>24</v>
      </c>
      <c r="D414" s="1">
        <v>45863</v>
      </c>
      <c r="E414" s="1">
        <v>45871</v>
      </c>
      <c r="F414" t="s">
        <v>36</v>
      </c>
      <c r="G414" t="s">
        <v>40</v>
      </c>
      <c r="H414" t="s">
        <v>15</v>
      </c>
      <c r="I414">
        <v>77597</v>
      </c>
      <c r="J414" t="s">
        <v>28</v>
      </c>
      <c r="K414" t="s">
        <v>22</v>
      </c>
      <c r="L414">
        <f>Table1[[#This Row],[Discharge_Date]]-Table1[[#This Row],[Admission_Date]]</f>
        <v>8</v>
      </c>
      <c r="M414" t="str">
        <f>IF(Table1[[#This Row],[Treatment_Cost]]&gt;50000,"High","Standard")</f>
        <v>High</v>
      </c>
    </row>
    <row r="415" spans="1:13" x14ac:dyDescent="0.35">
      <c r="A415" t="s">
        <v>446</v>
      </c>
      <c r="B415">
        <v>61</v>
      </c>
      <c r="C415" t="s">
        <v>24</v>
      </c>
      <c r="D415" s="1">
        <v>45816</v>
      </c>
      <c r="E415" s="1">
        <v>45821</v>
      </c>
      <c r="F415" t="s">
        <v>25</v>
      </c>
      <c r="G415" t="s">
        <v>26</v>
      </c>
      <c r="H415" t="s">
        <v>15</v>
      </c>
      <c r="I415">
        <v>59756</v>
      </c>
      <c r="J415" t="s">
        <v>28</v>
      </c>
      <c r="K415" t="s">
        <v>17</v>
      </c>
      <c r="L415">
        <f>Table1[[#This Row],[Discharge_Date]]-Table1[[#This Row],[Admission_Date]]</f>
        <v>5</v>
      </c>
      <c r="M415" t="str">
        <f>IF(Table1[[#This Row],[Treatment_Cost]]&gt;50000,"High","Standard")</f>
        <v>High</v>
      </c>
    </row>
    <row r="416" spans="1:13" x14ac:dyDescent="0.35">
      <c r="A416" t="s">
        <v>447</v>
      </c>
      <c r="B416">
        <v>80</v>
      </c>
      <c r="C416" t="s">
        <v>24</v>
      </c>
      <c r="D416" s="1">
        <v>45855</v>
      </c>
      <c r="E416" s="1">
        <v>45856</v>
      </c>
      <c r="F416" t="s">
        <v>48</v>
      </c>
      <c r="G416" t="s">
        <v>40</v>
      </c>
      <c r="H416" t="s">
        <v>27</v>
      </c>
      <c r="I416">
        <v>23921</v>
      </c>
      <c r="J416" t="s">
        <v>16</v>
      </c>
      <c r="K416" t="s">
        <v>29</v>
      </c>
      <c r="L416">
        <f>Table1[[#This Row],[Discharge_Date]]-Table1[[#This Row],[Admission_Date]]</f>
        <v>1</v>
      </c>
      <c r="M416" t="str">
        <f>IF(Table1[[#This Row],[Treatment_Cost]]&gt;50000,"High","Standard")</f>
        <v>Standard</v>
      </c>
    </row>
    <row r="417" spans="1:13" x14ac:dyDescent="0.35">
      <c r="A417" t="s">
        <v>448</v>
      </c>
      <c r="B417">
        <v>20</v>
      </c>
      <c r="C417" t="s">
        <v>12</v>
      </c>
      <c r="D417" s="1">
        <v>46004</v>
      </c>
      <c r="E417" s="1">
        <v>46010</v>
      </c>
      <c r="F417" t="s">
        <v>19</v>
      </c>
      <c r="G417" t="s">
        <v>20</v>
      </c>
      <c r="H417" t="s">
        <v>34</v>
      </c>
      <c r="I417">
        <v>21243</v>
      </c>
      <c r="J417" t="s">
        <v>16</v>
      </c>
      <c r="K417" t="s">
        <v>29</v>
      </c>
      <c r="L417">
        <f>Table1[[#This Row],[Discharge_Date]]-Table1[[#This Row],[Admission_Date]]</f>
        <v>6</v>
      </c>
      <c r="M417" t="str">
        <f>IF(Table1[[#This Row],[Treatment_Cost]]&gt;50000,"High","Standard")</f>
        <v>Standard</v>
      </c>
    </row>
    <row r="418" spans="1:13" x14ac:dyDescent="0.35">
      <c r="A418" t="s">
        <v>449</v>
      </c>
      <c r="B418">
        <v>68</v>
      </c>
      <c r="C418" t="s">
        <v>24</v>
      </c>
      <c r="D418" s="1">
        <v>45782</v>
      </c>
      <c r="E418" s="1">
        <v>45788</v>
      </c>
      <c r="F418" t="s">
        <v>25</v>
      </c>
      <c r="G418" t="s">
        <v>33</v>
      </c>
      <c r="H418" t="s">
        <v>21</v>
      </c>
      <c r="I418">
        <v>78581</v>
      </c>
      <c r="J418" t="s">
        <v>16</v>
      </c>
      <c r="K418" t="s">
        <v>29</v>
      </c>
      <c r="L418">
        <f>Table1[[#This Row],[Discharge_Date]]-Table1[[#This Row],[Admission_Date]]</f>
        <v>6</v>
      </c>
      <c r="M418" t="str">
        <f>IF(Table1[[#This Row],[Treatment_Cost]]&gt;50000,"High","Standard")</f>
        <v>High</v>
      </c>
    </row>
    <row r="419" spans="1:13" x14ac:dyDescent="0.35">
      <c r="A419" t="s">
        <v>450</v>
      </c>
      <c r="B419">
        <v>34</v>
      </c>
      <c r="C419" t="s">
        <v>12</v>
      </c>
      <c r="D419" s="1">
        <v>45733</v>
      </c>
      <c r="E419" s="1">
        <v>45736</v>
      </c>
      <c r="F419" t="s">
        <v>25</v>
      </c>
      <c r="G419" t="s">
        <v>33</v>
      </c>
      <c r="H419" t="s">
        <v>34</v>
      </c>
      <c r="I419">
        <v>33157</v>
      </c>
      <c r="J419" t="s">
        <v>16</v>
      </c>
      <c r="K419" t="s">
        <v>22</v>
      </c>
      <c r="L419">
        <f>Table1[[#This Row],[Discharge_Date]]-Table1[[#This Row],[Admission_Date]]</f>
        <v>3</v>
      </c>
      <c r="M419" t="str">
        <f>IF(Table1[[#This Row],[Treatment_Cost]]&gt;50000,"High","Standard")</f>
        <v>Standard</v>
      </c>
    </row>
    <row r="420" spans="1:13" x14ac:dyDescent="0.35">
      <c r="A420" t="s">
        <v>451</v>
      </c>
      <c r="B420">
        <v>31</v>
      </c>
      <c r="C420" t="s">
        <v>24</v>
      </c>
      <c r="D420" s="1">
        <v>45805</v>
      </c>
      <c r="E420" s="1">
        <v>45814</v>
      </c>
      <c r="F420" t="s">
        <v>48</v>
      </c>
      <c r="G420" t="s">
        <v>14</v>
      </c>
      <c r="H420" t="s">
        <v>27</v>
      </c>
      <c r="I420">
        <v>69585</v>
      </c>
      <c r="J420" t="s">
        <v>16</v>
      </c>
      <c r="K420" t="s">
        <v>22</v>
      </c>
      <c r="L420">
        <f>Table1[[#This Row],[Discharge_Date]]-Table1[[#This Row],[Admission_Date]]</f>
        <v>9</v>
      </c>
      <c r="M420" t="str">
        <f>IF(Table1[[#This Row],[Treatment_Cost]]&gt;50000,"High","Standard")</f>
        <v>High</v>
      </c>
    </row>
    <row r="421" spans="1:13" x14ac:dyDescent="0.35">
      <c r="A421" t="s">
        <v>452</v>
      </c>
      <c r="B421">
        <v>35</v>
      </c>
      <c r="C421" t="s">
        <v>12</v>
      </c>
      <c r="D421" s="1">
        <v>45738</v>
      </c>
      <c r="E421" s="1">
        <v>45741</v>
      </c>
      <c r="F421" t="s">
        <v>13</v>
      </c>
      <c r="G421" t="s">
        <v>20</v>
      </c>
      <c r="H421" t="s">
        <v>34</v>
      </c>
      <c r="I421">
        <v>84809</v>
      </c>
      <c r="J421" t="s">
        <v>16</v>
      </c>
      <c r="K421" t="s">
        <v>22</v>
      </c>
      <c r="L421">
        <f>Table1[[#This Row],[Discharge_Date]]-Table1[[#This Row],[Admission_Date]]</f>
        <v>3</v>
      </c>
      <c r="M421" t="str">
        <f>IF(Table1[[#This Row],[Treatment_Cost]]&gt;50000,"High","Standard")</f>
        <v>High</v>
      </c>
    </row>
    <row r="422" spans="1:13" x14ac:dyDescent="0.35">
      <c r="A422" t="s">
        <v>453</v>
      </c>
      <c r="B422">
        <v>38</v>
      </c>
      <c r="C422" t="s">
        <v>12</v>
      </c>
      <c r="D422" s="1">
        <v>45766</v>
      </c>
      <c r="E422" s="1">
        <v>45773</v>
      </c>
      <c r="F422" t="s">
        <v>48</v>
      </c>
      <c r="G422" t="s">
        <v>26</v>
      </c>
      <c r="H422" t="s">
        <v>34</v>
      </c>
      <c r="I422">
        <v>86049</v>
      </c>
      <c r="J422" t="s">
        <v>28</v>
      </c>
      <c r="K422" t="s">
        <v>29</v>
      </c>
      <c r="L422">
        <f>Table1[[#This Row],[Discharge_Date]]-Table1[[#This Row],[Admission_Date]]</f>
        <v>7</v>
      </c>
      <c r="M422" t="str">
        <f>IF(Table1[[#This Row],[Treatment_Cost]]&gt;50000,"High","Standard")</f>
        <v>High</v>
      </c>
    </row>
    <row r="423" spans="1:13" x14ac:dyDescent="0.35">
      <c r="A423" t="s">
        <v>454</v>
      </c>
      <c r="B423">
        <v>54</v>
      </c>
      <c r="C423" t="s">
        <v>24</v>
      </c>
      <c r="D423" s="1">
        <v>45747</v>
      </c>
      <c r="E423" s="1">
        <v>45753</v>
      </c>
      <c r="F423" t="s">
        <v>25</v>
      </c>
      <c r="G423" t="s">
        <v>33</v>
      </c>
      <c r="H423" t="s">
        <v>21</v>
      </c>
      <c r="I423">
        <v>66811</v>
      </c>
      <c r="J423" t="s">
        <v>28</v>
      </c>
      <c r="K423" t="s">
        <v>22</v>
      </c>
      <c r="L423">
        <f>Table1[[#This Row],[Discharge_Date]]-Table1[[#This Row],[Admission_Date]]</f>
        <v>6</v>
      </c>
      <c r="M423" t="str">
        <f>IF(Table1[[#This Row],[Treatment_Cost]]&gt;50000,"High","Standard")</f>
        <v>High</v>
      </c>
    </row>
    <row r="424" spans="1:13" x14ac:dyDescent="0.35">
      <c r="A424" t="s">
        <v>455</v>
      </c>
      <c r="B424">
        <v>26</v>
      </c>
      <c r="C424" t="s">
        <v>12</v>
      </c>
      <c r="D424" s="1">
        <v>45818</v>
      </c>
      <c r="E424" s="1">
        <v>45825</v>
      </c>
      <c r="F424" t="s">
        <v>13</v>
      </c>
      <c r="G424" t="s">
        <v>14</v>
      </c>
      <c r="H424" t="s">
        <v>31</v>
      </c>
      <c r="I424">
        <v>57124</v>
      </c>
      <c r="J424" t="s">
        <v>16</v>
      </c>
      <c r="K424" t="s">
        <v>22</v>
      </c>
      <c r="L424">
        <f>Table1[[#This Row],[Discharge_Date]]-Table1[[#This Row],[Admission_Date]]</f>
        <v>7</v>
      </c>
      <c r="M424" t="str">
        <f>IF(Table1[[#This Row],[Treatment_Cost]]&gt;50000,"High","Standard")</f>
        <v>High</v>
      </c>
    </row>
    <row r="425" spans="1:13" x14ac:dyDescent="0.35">
      <c r="A425" t="s">
        <v>456</v>
      </c>
      <c r="B425">
        <v>77</v>
      </c>
      <c r="C425" t="s">
        <v>12</v>
      </c>
      <c r="D425" s="1">
        <v>45894</v>
      </c>
      <c r="E425" s="1">
        <v>45896</v>
      </c>
      <c r="F425" t="s">
        <v>13</v>
      </c>
      <c r="G425" t="s">
        <v>20</v>
      </c>
      <c r="H425" t="s">
        <v>27</v>
      </c>
      <c r="I425">
        <v>97478</v>
      </c>
      <c r="J425" t="s">
        <v>28</v>
      </c>
      <c r="K425" t="s">
        <v>29</v>
      </c>
      <c r="L425">
        <f>Table1[[#This Row],[Discharge_Date]]-Table1[[#This Row],[Admission_Date]]</f>
        <v>2</v>
      </c>
      <c r="M425" t="str">
        <f>IF(Table1[[#This Row],[Treatment_Cost]]&gt;50000,"High","Standard")</f>
        <v>High</v>
      </c>
    </row>
    <row r="426" spans="1:13" x14ac:dyDescent="0.35">
      <c r="A426" t="s">
        <v>457</v>
      </c>
      <c r="B426">
        <v>51</v>
      </c>
      <c r="C426" t="s">
        <v>12</v>
      </c>
      <c r="D426" s="1">
        <v>45938</v>
      </c>
      <c r="E426" s="1">
        <v>45942</v>
      </c>
      <c r="F426" t="s">
        <v>19</v>
      </c>
      <c r="G426" t="s">
        <v>20</v>
      </c>
      <c r="H426" t="s">
        <v>31</v>
      </c>
      <c r="I426">
        <v>72590</v>
      </c>
      <c r="J426" t="s">
        <v>28</v>
      </c>
      <c r="K426" t="s">
        <v>17</v>
      </c>
      <c r="L426">
        <f>Table1[[#This Row],[Discharge_Date]]-Table1[[#This Row],[Admission_Date]]</f>
        <v>4</v>
      </c>
      <c r="M426" t="str">
        <f>IF(Table1[[#This Row],[Treatment_Cost]]&gt;50000,"High","Standard")</f>
        <v>High</v>
      </c>
    </row>
    <row r="427" spans="1:13" x14ac:dyDescent="0.35">
      <c r="A427" t="s">
        <v>458</v>
      </c>
      <c r="B427">
        <v>39</v>
      </c>
      <c r="C427" t="s">
        <v>24</v>
      </c>
      <c r="D427" s="1">
        <v>45899</v>
      </c>
      <c r="E427" s="1">
        <v>45901</v>
      </c>
      <c r="F427" t="s">
        <v>19</v>
      </c>
      <c r="G427" t="s">
        <v>40</v>
      </c>
      <c r="H427" t="s">
        <v>15</v>
      </c>
      <c r="I427">
        <v>60350</v>
      </c>
      <c r="J427" t="s">
        <v>16</v>
      </c>
      <c r="K427" t="s">
        <v>29</v>
      </c>
      <c r="L427">
        <f>Table1[[#This Row],[Discharge_Date]]-Table1[[#This Row],[Admission_Date]]</f>
        <v>2</v>
      </c>
      <c r="M427" t="str">
        <f>IF(Table1[[#This Row],[Treatment_Cost]]&gt;50000,"High","Standard")</f>
        <v>High</v>
      </c>
    </row>
    <row r="428" spans="1:13" x14ac:dyDescent="0.35">
      <c r="A428" t="s">
        <v>459</v>
      </c>
      <c r="B428">
        <v>21</v>
      </c>
      <c r="C428" t="s">
        <v>24</v>
      </c>
      <c r="D428" s="1">
        <v>45766</v>
      </c>
      <c r="E428" s="1">
        <v>45772</v>
      </c>
      <c r="F428" t="s">
        <v>13</v>
      </c>
      <c r="G428" t="s">
        <v>14</v>
      </c>
      <c r="H428" t="s">
        <v>34</v>
      </c>
      <c r="I428">
        <v>49770</v>
      </c>
      <c r="J428" t="s">
        <v>28</v>
      </c>
      <c r="K428" t="s">
        <v>17</v>
      </c>
      <c r="L428">
        <f>Table1[[#This Row],[Discharge_Date]]-Table1[[#This Row],[Admission_Date]]</f>
        <v>6</v>
      </c>
      <c r="M428" t="str">
        <f>IF(Table1[[#This Row],[Treatment_Cost]]&gt;50000,"High","Standard")</f>
        <v>Standard</v>
      </c>
    </row>
    <row r="429" spans="1:13" x14ac:dyDescent="0.35">
      <c r="A429" t="s">
        <v>460</v>
      </c>
      <c r="B429">
        <v>44</v>
      </c>
      <c r="C429" t="s">
        <v>12</v>
      </c>
      <c r="D429" s="1">
        <v>45869</v>
      </c>
      <c r="E429" s="1">
        <v>45877</v>
      </c>
      <c r="F429" t="s">
        <v>25</v>
      </c>
      <c r="G429" t="s">
        <v>20</v>
      </c>
      <c r="H429" t="s">
        <v>27</v>
      </c>
      <c r="I429">
        <v>58837</v>
      </c>
      <c r="J429" t="s">
        <v>16</v>
      </c>
      <c r="K429" t="s">
        <v>29</v>
      </c>
      <c r="L429">
        <f>Table1[[#This Row],[Discharge_Date]]-Table1[[#This Row],[Admission_Date]]</f>
        <v>8</v>
      </c>
      <c r="M429" t="str">
        <f>IF(Table1[[#This Row],[Treatment_Cost]]&gt;50000,"High","Standard")</f>
        <v>High</v>
      </c>
    </row>
    <row r="430" spans="1:13" x14ac:dyDescent="0.35">
      <c r="A430" t="s">
        <v>461</v>
      </c>
      <c r="B430">
        <v>56</v>
      </c>
      <c r="C430" t="s">
        <v>24</v>
      </c>
      <c r="D430" s="1">
        <v>45762</v>
      </c>
      <c r="E430" s="1">
        <v>45763</v>
      </c>
      <c r="F430" t="s">
        <v>48</v>
      </c>
      <c r="G430" t="s">
        <v>40</v>
      </c>
      <c r="H430" t="s">
        <v>34</v>
      </c>
      <c r="I430">
        <v>30010</v>
      </c>
      <c r="J430" t="s">
        <v>16</v>
      </c>
      <c r="K430" t="s">
        <v>22</v>
      </c>
      <c r="L430">
        <f>Table1[[#This Row],[Discharge_Date]]-Table1[[#This Row],[Admission_Date]]</f>
        <v>1</v>
      </c>
      <c r="M430" t="str">
        <f>IF(Table1[[#This Row],[Treatment_Cost]]&gt;50000,"High","Standard")</f>
        <v>Standard</v>
      </c>
    </row>
    <row r="431" spans="1:13" x14ac:dyDescent="0.35">
      <c r="A431" t="s">
        <v>462</v>
      </c>
      <c r="B431">
        <v>67</v>
      </c>
      <c r="C431" t="s">
        <v>24</v>
      </c>
      <c r="D431" s="1">
        <v>45737</v>
      </c>
      <c r="E431" s="1">
        <v>45745</v>
      </c>
      <c r="F431" t="s">
        <v>25</v>
      </c>
      <c r="G431" t="s">
        <v>14</v>
      </c>
      <c r="H431" t="s">
        <v>27</v>
      </c>
      <c r="I431">
        <v>21014</v>
      </c>
      <c r="J431" t="s">
        <v>16</v>
      </c>
      <c r="K431" t="s">
        <v>17</v>
      </c>
      <c r="L431">
        <f>Table1[[#This Row],[Discharge_Date]]-Table1[[#This Row],[Admission_Date]]</f>
        <v>8</v>
      </c>
      <c r="M431" t="str">
        <f>IF(Table1[[#This Row],[Treatment_Cost]]&gt;50000,"High","Standard")</f>
        <v>Standard</v>
      </c>
    </row>
    <row r="432" spans="1:13" x14ac:dyDescent="0.35">
      <c r="A432" t="s">
        <v>463</v>
      </c>
      <c r="B432">
        <v>31</v>
      </c>
      <c r="C432" t="s">
        <v>24</v>
      </c>
      <c r="D432" s="1">
        <v>45912</v>
      </c>
      <c r="E432" s="1">
        <v>45922</v>
      </c>
      <c r="F432" t="s">
        <v>13</v>
      </c>
      <c r="G432" t="s">
        <v>33</v>
      </c>
      <c r="H432" t="s">
        <v>21</v>
      </c>
      <c r="I432">
        <v>50483</v>
      </c>
      <c r="J432" t="s">
        <v>16</v>
      </c>
      <c r="K432" t="s">
        <v>17</v>
      </c>
      <c r="L432">
        <f>Table1[[#This Row],[Discharge_Date]]-Table1[[#This Row],[Admission_Date]]</f>
        <v>10</v>
      </c>
      <c r="M432" t="str">
        <f>IF(Table1[[#This Row],[Treatment_Cost]]&gt;50000,"High","Standard")</f>
        <v>High</v>
      </c>
    </row>
    <row r="433" spans="1:13" x14ac:dyDescent="0.35">
      <c r="A433" t="s">
        <v>464</v>
      </c>
      <c r="B433">
        <v>70</v>
      </c>
      <c r="C433" t="s">
        <v>24</v>
      </c>
      <c r="D433" s="1">
        <v>45713</v>
      </c>
      <c r="E433" s="1">
        <v>45717</v>
      </c>
      <c r="F433" t="s">
        <v>48</v>
      </c>
      <c r="G433" t="s">
        <v>33</v>
      </c>
      <c r="H433" t="s">
        <v>31</v>
      </c>
      <c r="I433">
        <v>87145</v>
      </c>
      <c r="J433" t="s">
        <v>16</v>
      </c>
      <c r="K433" t="s">
        <v>17</v>
      </c>
      <c r="L433">
        <f>Table1[[#This Row],[Discharge_Date]]-Table1[[#This Row],[Admission_Date]]</f>
        <v>4</v>
      </c>
      <c r="M433" t="str">
        <f>IF(Table1[[#This Row],[Treatment_Cost]]&gt;50000,"High","Standard")</f>
        <v>High</v>
      </c>
    </row>
    <row r="434" spans="1:13" x14ac:dyDescent="0.35">
      <c r="A434" t="s">
        <v>465</v>
      </c>
      <c r="B434">
        <v>68</v>
      </c>
      <c r="C434" t="s">
        <v>12</v>
      </c>
      <c r="D434" s="1">
        <v>45987</v>
      </c>
      <c r="E434" s="1">
        <v>45996</v>
      </c>
      <c r="F434" t="s">
        <v>36</v>
      </c>
      <c r="G434" t="s">
        <v>40</v>
      </c>
      <c r="H434" t="s">
        <v>27</v>
      </c>
      <c r="I434">
        <v>59542</v>
      </c>
      <c r="J434" t="s">
        <v>16</v>
      </c>
      <c r="K434" t="s">
        <v>17</v>
      </c>
      <c r="L434">
        <f>Table1[[#This Row],[Discharge_Date]]-Table1[[#This Row],[Admission_Date]]</f>
        <v>9</v>
      </c>
      <c r="M434" t="str">
        <f>IF(Table1[[#This Row],[Treatment_Cost]]&gt;50000,"High","Standard")</f>
        <v>High</v>
      </c>
    </row>
    <row r="435" spans="1:13" x14ac:dyDescent="0.35">
      <c r="A435" t="s">
        <v>466</v>
      </c>
      <c r="B435">
        <v>19</v>
      </c>
      <c r="C435" t="s">
        <v>24</v>
      </c>
      <c r="D435" s="1">
        <v>45944</v>
      </c>
      <c r="E435" s="1">
        <v>45954</v>
      </c>
      <c r="F435" t="s">
        <v>25</v>
      </c>
      <c r="G435" t="s">
        <v>26</v>
      </c>
      <c r="H435" t="s">
        <v>21</v>
      </c>
      <c r="I435">
        <v>33966</v>
      </c>
      <c r="J435" t="s">
        <v>28</v>
      </c>
      <c r="K435" t="s">
        <v>22</v>
      </c>
      <c r="L435">
        <f>Table1[[#This Row],[Discharge_Date]]-Table1[[#This Row],[Admission_Date]]</f>
        <v>10</v>
      </c>
      <c r="M435" t="str">
        <f>IF(Table1[[#This Row],[Treatment_Cost]]&gt;50000,"High","Standard")</f>
        <v>Standard</v>
      </c>
    </row>
    <row r="436" spans="1:13" x14ac:dyDescent="0.35">
      <c r="A436" t="s">
        <v>467</v>
      </c>
      <c r="B436">
        <v>59</v>
      </c>
      <c r="C436" t="s">
        <v>12</v>
      </c>
      <c r="D436" s="1">
        <v>45893</v>
      </c>
      <c r="E436" s="1">
        <v>45898</v>
      </c>
      <c r="F436" t="s">
        <v>13</v>
      </c>
      <c r="G436" t="s">
        <v>33</v>
      </c>
      <c r="H436" t="s">
        <v>27</v>
      </c>
      <c r="I436">
        <v>97392</v>
      </c>
      <c r="J436" t="s">
        <v>16</v>
      </c>
      <c r="K436" t="s">
        <v>29</v>
      </c>
      <c r="L436">
        <f>Table1[[#This Row],[Discharge_Date]]-Table1[[#This Row],[Admission_Date]]</f>
        <v>5</v>
      </c>
      <c r="M436" t="str">
        <f>IF(Table1[[#This Row],[Treatment_Cost]]&gt;50000,"High","Standard")</f>
        <v>High</v>
      </c>
    </row>
    <row r="437" spans="1:13" x14ac:dyDescent="0.35">
      <c r="A437" t="s">
        <v>468</v>
      </c>
      <c r="B437">
        <v>71</v>
      </c>
      <c r="C437" t="s">
        <v>24</v>
      </c>
      <c r="D437" s="1">
        <v>45892</v>
      </c>
      <c r="E437" s="1">
        <v>45896</v>
      </c>
      <c r="F437" t="s">
        <v>19</v>
      </c>
      <c r="G437" t="s">
        <v>14</v>
      </c>
      <c r="H437" t="s">
        <v>15</v>
      </c>
      <c r="I437">
        <v>28151</v>
      </c>
      <c r="J437" t="s">
        <v>16</v>
      </c>
      <c r="K437" t="s">
        <v>29</v>
      </c>
      <c r="L437">
        <f>Table1[[#This Row],[Discharge_Date]]-Table1[[#This Row],[Admission_Date]]</f>
        <v>4</v>
      </c>
      <c r="M437" t="str">
        <f>IF(Table1[[#This Row],[Treatment_Cost]]&gt;50000,"High","Standard")</f>
        <v>Standard</v>
      </c>
    </row>
    <row r="438" spans="1:13" x14ac:dyDescent="0.35">
      <c r="A438" t="s">
        <v>469</v>
      </c>
      <c r="B438">
        <v>67</v>
      </c>
      <c r="C438" t="s">
        <v>24</v>
      </c>
      <c r="D438" s="1">
        <v>45780</v>
      </c>
      <c r="E438" s="1">
        <v>45789</v>
      </c>
      <c r="F438" t="s">
        <v>48</v>
      </c>
      <c r="G438" t="s">
        <v>14</v>
      </c>
      <c r="H438" t="s">
        <v>15</v>
      </c>
      <c r="I438">
        <v>22707</v>
      </c>
      <c r="J438" t="s">
        <v>28</v>
      </c>
      <c r="K438" t="s">
        <v>17</v>
      </c>
      <c r="L438">
        <f>Table1[[#This Row],[Discharge_Date]]-Table1[[#This Row],[Admission_Date]]</f>
        <v>9</v>
      </c>
      <c r="M438" t="str">
        <f>IF(Table1[[#This Row],[Treatment_Cost]]&gt;50000,"High","Standard")</f>
        <v>Standard</v>
      </c>
    </row>
    <row r="439" spans="1:13" x14ac:dyDescent="0.35">
      <c r="A439" t="s">
        <v>470</v>
      </c>
      <c r="B439">
        <v>52</v>
      </c>
      <c r="C439" t="s">
        <v>24</v>
      </c>
      <c r="D439" s="1">
        <v>45726</v>
      </c>
      <c r="E439" s="1">
        <v>45727</v>
      </c>
      <c r="F439" t="s">
        <v>19</v>
      </c>
      <c r="G439" t="s">
        <v>14</v>
      </c>
      <c r="H439" t="s">
        <v>15</v>
      </c>
      <c r="I439">
        <v>22121</v>
      </c>
      <c r="J439" t="s">
        <v>28</v>
      </c>
      <c r="K439" t="s">
        <v>29</v>
      </c>
      <c r="L439">
        <f>Table1[[#This Row],[Discharge_Date]]-Table1[[#This Row],[Admission_Date]]</f>
        <v>1</v>
      </c>
      <c r="M439" t="str">
        <f>IF(Table1[[#This Row],[Treatment_Cost]]&gt;50000,"High","Standard")</f>
        <v>Standard</v>
      </c>
    </row>
    <row r="440" spans="1:13" x14ac:dyDescent="0.35">
      <c r="A440" t="s">
        <v>471</v>
      </c>
      <c r="B440">
        <v>73</v>
      </c>
      <c r="C440" t="s">
        <v>12</v>
      </c>
      <c r="D440" s="1">
        <v>45665</v>
      </c>
      <c r="E440" s="1">
        <v>45666</v>
      </c>
      <c r="F440" t="s">
        <v>36</v>
      </c>
      <c r="G440" t="s">
        <v>20</v>
      </c>
      <c r="H440" t="s">
        <v>15</v>
      </c>
      <c r="I440">
        <v>34358</v>
      </c>
      <c r="J440" t="s">
        <v>16</v>
      </c>
      <c r="K440" t="s">
        <v>29</v>
      </c>
      <c r="L440">
        <f>Table1[[#This Row],[Discharge_Date]]-Table1[[#This Row],[Admission_Date]]</f>
        <v>1</v>
      </c>
      <c r="M440" t="str">
        <f>IF(Table1[[#This Row],[Treatment_Cost]]&gt;50000,"High","Standard")</f>
        <v>Standard</v>
      </c>
    </row>
    <row r="441" spans="1:13" x14ac:dyDescent="0.35">
      <c r="A441" t="s">
        <v>472</v>
      </c>
      <c r="B441">
        <v>33</v>
      </c>
      <c r="C441" t="s">
        <v>24</v>
      </c>
      <c r="D441" s="1">
        <v>45961</v>
      </c>
      <c r="E441" s="1">
        <v>45969</v>
      </c>
      <c r="F441" t="s">
        <v>13</v>
      </c>
      <c r="G441" t="s">
        <v>33</v>
      </c>
      <c r="H441" t="s">
        <v>21</v>
      </c>
      <c r="I441">
        <v>86096</v>
      </c>
      <c r="J441" t="s">
        <v>16</v>
      </c>
      <c r="K441" t="s">
        <v>17</v>
      </c>
      <c r="L441">
        <f>Table1[[#This Row],[Discharge_Date]]-Table1[[#This Row],[Admission_Date]]</f>
        <v>8</v>
      </c>
      <c r="M441" t="str">
        <f>IF(Table1[[#This Row],[Treatment_Cost]]&gt;50000,"High","Standard")</f>
        <v>High</v>
      </c>
    </row>
    <row r="442" spans="1:13" x14ac:dyDescent="0.35">
      <c r="A442" t="s">
        <v>473</v>
      </c>
      <c r="B442">
        <v>54</v>
      </c>
      <c r="C442" t="s">
        <v>12</v>
      </c>
      <c r="D442" s="1">
        <v>45986</v>
      </c>
      <c r="E442" s="1">
        <v>45994</v>
      </c>
      <c r="F442" t="s">
        <v>13</v>
      </c>
      <c r="G442" t="s">
        <v>20</v>
      </c>
      <c r="H442" t="s">
        <v>34</v>
      </c>
      <c r="I442">
        <v>80898</v>
      </c>
      <c r="J442" t="s">
        <v>28</v>
      </c>
      <c r="K442" t="s">
        <v>22</v>
      </c>
      <c r="L442">
        <f>Table1[[#This Row],[Discharge_Date]]-Table1[[#This Row],[Admission_Date]]</f>
        <v>8</v>
      </c>
      <c r="M442" t="str">
        <f>IF(Table1[[#This Row],[Treatment_Cost]]&gt;50000,"High","Standard")</f>
        <v>High</v>
      </c>
    </row>
    <row r="443" spans="1:13" x14ac:dyDescent="0.35">
      <c r="A443" t="s">
        <v>474</v>
      </c>
      <c r="B443">
        <v>65</v>
      </c>
      <c r="C443" t="s">
        <v>24</v>
      </c>
      <c r="D443" s="1">
        <v>45691</v>
      </c>
      <c r="E443" s="1">
        <v>45701</v>
      </c>
      <c r="F443" t="s">
        <v>48</v>
      </c>
      <c r="G443" t="s">
        <v>33</v>
      </c>
      <c r="H443" t="s">
        <v>21</v>
      </c>
      <c r="I443">
        <v>20911</v>
      </c>
      <c r="J443" t="s">
        <v>16</v>
      </c>
      <c r="K443" t="s">
        <v>17</v>
      </c>
      <c r="L443">
        <f>Table1[[#This Row],[Discharge_Date]]-Table1[[#This Row],[Admission_Date]]</f>
        <v>10</v>
      </c>
      <c r="M443" t="str">
        <f>IF(Table1[[#This Row],[Treatment_Cost]]&gt;50000,"High","Standard")</f>
        <v>Standard</v>
      </c>
    </row>
    <row r="444" spans="1:13" x14ac:dyDescent="0.35">
      <c r="A444" t="s">
        <v>475</v>
      </c>
      <c r="B444">
        <v>35</v>
      </c>
      <c r="C444" t="s">
        <v>12</v>
      </c>
      <c r="D444" s="1">
        <v>45823</v>
      </c>
      <c r="E444" s="1">
        <v>45827</v>
      </c>
      <c r="F444" t="s">
        <v>36</v>
      </c>
      <c r="G444" t="s">
        <v>14</v>
      </c>
      <c r="H444" t="s">
        <v>34</v>
      </c>
      <c r="I444">
        <v>14981</v>
      </c>
      <c r="J444" t="s">
        <v>28</v>
      </c>
      <c r="K444" t="s">
        <v>22</v>
      </c>
      <c r="L444">
        <f>Table1[[#This Row],[Discharge_Date]]-Table1[[#This Row],[Admission_Date]]</f>
        <v>4</v>
      </c>
      <c r="M444" t="str">
        <f>IF(Table1[[#This Row],[Treatment_Cost]]&gt;50000,"High","Standard")</f>
        <v>Standard</v>
      </c>
    </row>
    <row r="445" spans="1:13" x14ac:dyDescent="0.35">
      <c r="A445" t="s">
        <v>476</v>
      </c>
      <c r="B445">
        <v>21</v>
      </c>
      <c r="C445" t="s">
        <v>12</v>
      </c>
      <c r="D445" s="1">
        <v>45927</v>
      </c>
      <c r="E445" s="1">
        <v>45928</v>
      </c>
      <c r="F445" t="s">
        <v>19</v>
      </c>
      <c r="G445" t="s">
        <v>40</v>
      </c>
      <c r="H445" t="s">
        <v>27</v>
      </c>
      <c r="I445">
        <v>14221</v>
      </c>
      <c r="J445" t="s">
        <v>28</v>
      </c>
      <c r="K445" t="s">
        <v>22</v>
      </c>
      <c r="L445">
        <f>Table1[[#This Row],[Discharge_Date]]-Table1[[#This Row],[Admission_Date]]</f>
        <v>1</v>
      </c>
      <c r="M445" t="str">
        <f>IF(Table1[[#This Row],[Treatment_Cost]]&gt;50000,"High","Standard")</f>
        <v>Standard</v>
      </c>
    </row>
    <row r="446" spans="1:13" x14ac:dyDescent="0.35">
      <c r="A446" t="s">
        <v>477</v>
      </c>
      <c r="B446">
        <v>48</v>
      </c>
      <c r="C446" t="s">
        <v>12</v>
      </c>
      <c r="D446" s="1">
        <v>45923</v>
      </c>
      <c r="E446" s="1">
        <v>45930</v>
      </c>
      <c r="F446" t="s">
        <v>19</v>
      </c>
      <c r="G446" t="s">
        <v>26</v>
      </c>
      <c r="H446" t="s">
        <v>27</v>
      </c>
      <c r="I446">
        <v>88053</v>
      </c>
      <c r="J446" t="s">
        <v>28</v>
      </c>
      <c r="K446" t="s">
        <v>29</v>
      </c>
      <c r="L446">
        <f>Table1[[#This Row],[Discharge_Date]]-Table1[[#This Row],[Admission_Date]]</f>
        <v>7</v>
      </c>
      <c r="M446" t="str">
        <f>IF(Table1[[#This Row],[Treatment_Cost]]&gt;50000,"High","Standard")</f>
        <v>High</v>
      </c>
    </row>
    <row r="447" spans="1:13" x14ac:dyDescent="0.35">
      <c r="A447" t="s">
        <v>478</v>
      </c>
      <c r="B447">
        <v>29</v>
      </c>
      <c r="C447" t="s">
        <v>12</v>
      </c>
      <c r="D447" s="1">
        <v>45875</v>
      </c>
      <c r="E447" s="1">
        <v>45877</v>
      </c>
      <c r="F447" t="s">
        <v>48</v>
      </c>
      <c r="G447" t="s">
        <v>26</v>
      </c>
      <c r="H447" t="s">
        <v>15</v>
      </c>
      <c r="I447">
        <v>70333</v>
      </c>
      <c r="J447" t="s">
        <v>16</v>
      </c>
      <c r="K447" t="s">
        <v>22</v>
      </c>
      <c r="L447">
        <f>Table1[[#This Row],[Discharge_Date]]-Table1[[#This Row],[Admission_Date]]</f>
        <v>2</v>
      </c>
      <c r="M447" t="str">
        <f>IF(Table1[[#This Row],[Treatment_Cost]]&gt;50000,"High","Standard")</f>
        <v>High</v>
      </c>
    </row>
    <row r="448" spans="1:13" x14ac:dyDescent="0.35">
      <c r="A448" t="s">
        <v>479</v>
      </c>
      <c r="B448">
        <v>69</v>
      </c>
      <c r="C448" t="s">
        <v>24</v>
      </c>
      <c r="D448" s="1">
        <v>45812</v>
      </c>
      <c r="E448" s="1">
        <v>45821</v>
      </c>
      <c r="F448" t="s">
        <v>25</v>
      </c>
      <c r="G448" t="s">
        <v>14</v>
      </c>
      <c r="H448" t="s">
        <v>31</v>
      </c>
      <c r="I448">
        <v>29062</v>
      </c>
      <c r="J448" t="s">
        <v>28</v>
      </c>
      <c r="K448" t="s">
        <v>22</v>
      </c>
      <c r="L448">
        <f>Table1[[#This Row],[Discharge_Date]]-Table1[[#This Row],[Admission_Date]]</f>
        <v>9</v>
      </c>
      <c r="M448" t="str">
        <f>IF(Table1[[#This Row],[Treatment_Cost]]&gt;50000,"High","Standard")</f>
        <v>Standard</v>
      </c>
    </row>
    <row r="449" spans="1:13" x14ac:dyDescent="0.35">
      <c r="A449" t="s">
        <v>480</v>
      </c>
      <c r="B449">
        <v>32</v>
      </c>
      <c r="C449" t="s">
        <v>12</v>
      </c>
      <c r="D449" s="1">
        <v>45935</v>
      </c>
      <c r="E449" s="1">
        <v>45940</v>
      </c>
      <c r="F449" t="s">
        <v>13</v>
      </c>
      <c r="G449" t="s">
        <v>20</v>
      </c>
      <c r="H449" t="s">
        <v>31</v>
      </c>
      <c r="I449">
        <v>60714</v>
      </c>
      <c r="J449" t="s">
        <v>16</v>
      </c>
      <c r="K449" t="s">
        <v>29</v>
      </c>
      <c r="L449">
        <f>Table1[[#This Row],[Discharge_Date]]-Table1[[#This Row],[Admission_Date]]</f>
        <v>5</v>
      </c>
      <c r="M449" t="str">
        <f>IF(Table1[[#This Row],[Treatment_Cost]]&gt;50000,"High","Standard")</f>
        <v>High</v>
      </c>
    </row>
    <row r="450" spans="1:13" x14ac:dyDescent="0.35">
      <c r="A450" t="s">
        <v>481</v>
      </c>
      <c r="B450">
        <v>31</v>
      </c>
      <c r="C450" t="s">
        <v>24</v>
      </c>
      <c r="D450" s="1">
        <v>45945</v>
      </c>
      <c r="E450" s="1">
        <v>45950</v>
      </c>
      <c r="F450" t="s">
        <v>36</v>
      </c>
      <c r="G450" t="s">
        <v>40</v>
      </c>
      <c r="H450" t="s">
        <v>34</v>
      </c>
      <c r="I450">
        <v>38707</v>
      </c>
      <c r="J450" t="s">
        <v>16</v>
      </c>
      <c r="K450" t="s">
        <v>17</v>
      </c>
      <c r="L450">
        <f>Table1[[#This Row],[Discharge_Date]]-Table1[[#This Row],[Admission_Date]]</f>
        <v>5</v>
      </c>
      <c r="M450" t="str">
        <f>IF(Table1[[#This Row],[Treatment_Cost]]&gt;50000,"High","Standard")</f>
        <v>Standard</v>
      </c>
    </row>
    <row r="451" spans="1:13" x14ac:dyDescent="0.35">
      <c r="A451" t="s">
        <v>482</v>
      </c>
      <c r="B451">
        <v>75</v>
      </c>
      <c r="C451" t="s">
        <v>24</v>
      </c>
      <c r="D451" s="1">
        <v>45898</v>
      </c>
      <c r="E451" s="1">
        <v>45905</v>
      </c>
      <c r="F451" t="s">
        <v>36</v>
      </c>
      <c r="G451" t="s">
        <v>26</v>
      </c>
      <c r="H451" t="s">
        <v>15</v>
      </c>
      <c r="I451">
        <v>51856</v>
      </c>
      <c r="J451" t="s">
        <v>16</v>
      </c>
      <c r="K451" t="s">
        <v>29</v>
      </c>
      <c r="L451">
        <f>Table1[[#This Row],[Discharge_Date]]-Table1[[#This Row],[Admission_Date]]</f>
        <v>7</v>
      </c>
      <c r="M451" t="str">
        <f>IF(Table1[[#This Row],[Treatment_Cost]]&gt;50000,"High","Standard")</f>
        <v>High</v>
      </c>
    </row>
    <row r="452" spans="1:13" x14ac:dyDescent="0.35">
      <c r="A452" t="s">
        <v>483</v>
      </c>
      <c r="B452">
        <v>66</v>
      </c>
      <c r="C452" t="s">
        <v>24</v>
      </c>
      <c r="D452" s="1">
        <v>45819</v>
      </c>
      <c r="E452" s="1">
        <v>45821</v>
      </c>
      <c r="F452" t="s">
        <v>36</v>
      </c>
      <c r="G452" t="s">
        <v>20</v>
      </c>
      <c r="H452" t="s">
        <v>31</v>
      </c>
      <c r="I452">
        <v>77587</v>
      </c>
      <c r="J452" t="s">
        <v>16</v>
      </c>
      <c r="K452" t="s">
        <v>17</v>
      </c>
      <c r="L452">
        <f>Table1[[#This Row],[Discharge_Date]]-Table1[[#This Row],[Admission_Date]]</f>
        <v>2</v>
      </c>
      <c r="M452" t="str">
        <f>IF(Table1[[#This Row],[Treatment_Cost]]&gt;50000,"High","Standard")</f>
        <v>High</v>
      </c>
    </row>
    <row r="453" spans="1:13" x14ac:dyDescent="0.35">
      <c r="A453" t="s">
        <v>484</v>
      </c>
      <c r="B453">
        <v>50</v>
      </c>
      <c r="C453" t="s">
        <v>24</v>
      </c>
      <c r="D453" s="1">
        <v>45969</v>
      </c>
      <c r="E453" s="1">
        <v>45979</v>
      </c>
      <c r="F453" t="s">
        <v>36</v>
      </c>
      <c r="G453" t="s">
        <v>40</v>
      </c>
      <c r="H453" t="s">
        <v>34</v>
      </c>
      <c r="I453">
        <v>65317</v>
      </c>
      <c r="J453" t="s">
        <v>16</v>
      </c>
      <c r="K453" t="s">
        <v>17</v>
      </c>
      <c r="L453">
        <f>Table1[[#This Row],[Discharge_Date]]-Table1[[#This Row],[Admission_Date]]</f>
        <v>10</v>
      </c>
      <c r="M453" t="str">
        <f>IF(Table1[[#This Row],[Treatment_Cost]]&gt;50000,"High","Standard")</f>
        <v>High</v>
      </c>
    </row>
    <row r="454" spans="1:13" x14ac:dyDescent="0.35">
      <c r="A454" t="s">
        <v>485</v>
      </c>
      <c r="B454">
        <v>35</v>
      </c>
      <c r="C454" t="s">
        <v>12</v>
      </c>
      <c r="D454" s="1">
        <v>45997</v>
      </c>
      <c r="E454" s="1">
        <v>45998</v>
      </c>
      <c r="F454" t="s">
        <v>13</v>
      </c>
      <c r="G454" t="s">
        <v>14</v>
      </c>
      <c r="H454" t="s">
        <v>31</v>
      </c>
      <c r="I454">
        <v>92377</v>
      </c>
      <c r="J454" t="s">
        <v>28</v>
      </c>
      <c r="K454" t="s">
        <v>17</v>
      </c>
      <c r="L454">
        <f>Table1[[#This Row],[Discharge_Date]]-Table1[[#This Row],[Admission_Date]]</f>
        <v>1</v>
      </c>
      <c r="M454" t="str">
        <f>IF(Table1[[#This Row],[Treatment_Cost]]&gt;50000,"High","Standard")</f>
        <v>High</v>
      </c>
    </row>
    <row r="455" spans="1:13" x14ac:dyDescent="0.35">
      <c r="A455" t="s">
        <v>486</v>
      </c>
      <c r="B455">
        <v>46</v>
      </c>
      <c r="C455" t="s">
        <v>12</v>
      </c>
      <c r="D455" s="1">
        <v>45728</v>
      </c>
      <c r="E455" s="1">
        <v>45731</v>
      </c>
      <c r="F455" t="s">
        <v>36</v>
      </c>
      <c r="G455" t="s">
        <v>40</v>
      </c>
      <c r="H455" t="s">
        <v>21</v>
      </c>
      <c r="I455">
        <v>57152</v>
      </c>
      <c r="J455" t="s">
        <v>16</v>
      </c>
      <c r="K455" t="s">
        <v>22</v>
      </c>
      <c r="L455">
        <f>Table1[[#This Row],[Discharge_Date]]-Table1[[#This Row],[Admission_Date]]</f>
        <v>3</v>
      </c>
      <c r="M455" t="str">
        <f>IF(Table1[[#This Row],[Treatment_Cost]]&gt;50000,"High","Standard")</f>
        <v>High</v>
      </c>
    </row>
    <row r="456" spans="1:13" x14ac:dyDescent="0.35">
      <c r="A456" t="s">
        <v>487</v>
      </c>
      <c r="B456">
        <v>75</v>
      </c>
      <c r="C456" t="s">
        <v>24</v>
      </c>
      <c r="D456" s="1">
        <v>45795</v>
      </c>
      <c r="E456" s="1">
        <v>45801</v>
      </c>
      <c r="F456" t="s">
        <v>13</v>
      </c>
      <c r="G456" t="s">
        <v>26</v>
      </c>
      <c r="H456" t="s">
        <v>31</v>
      </c>
      <c r="I456">
        <v>12338</v>
      </c>
      <c r="J456" t="s">
        <v>16</v>
      </c>
      <c r="K456" t="s">
        <v>17</v>
      </c>
      <c r="L456">
        <f>Table1[[#This Row],[Discharge_Date]]-Table1[[#This Row],[Admission_Date]]</f>
        <v>6</v>
      </c>
      <c r="M456" t="str">
        <f>IF(Table1[[#This Row],[Treatment_Cost]]&gt;50000,"High","Standard")</f>
        <v>Standard</v>
      </c>
    </row>
    <row r="457" spans="1:13" x14ac:dyDescent="0.35">
      <c r="A457" t="s">
        <v>488</v>
      </c>
      <c r="B457">
        <v>27</v>
      </c>
      <c r="C457" t="s">
        <v>12</v>
      </c>
      <c r="D457" s="1">
        <v>45939</v>
      </c>
      <c r="E457" s="1">
        <v>45943</v>
      </c>
      <c r="F457" t="s">
        <v>13</v>
      </c>
      <c r="G457" t="s">
        <v>40</v>
      </c>
      <c r="H457" t="s">
        <v>34</v>
      </c>
      <c r="I457">
        <v>18506</v>
      </c>
      <c r="J457" t="s">
        <v>28</v>
      </c>
      <c r="K457" t="s">
        <v>22</v>
      </c>
      <c r="L457">
        <f>Table1[[#This Row],[Discharge_Date]]-Table1[[#This Row],[Admission_Date]]</f>
        <v>4</v>
      </c>
      <c r="M457" t="str">
        <f>IF(Table1[[#This Row],[Treatment_Cost]]&gt;50000,"High","Standard")</f>
        <v>Standard</v>
      </c>
    </row>
    <row r="458" spans="1:13" x14ac:dyDescent="0.35">
      <c r="A458" t="s">
        <v>489</v>
      </c>
      <c r="B458">
        <v>71</v>
      </c>
      <c r="C458" t="s">
        <v>24</v>
      </c>
      <c r="D458" s="1">
        <v>45915</v>
      </c>
      <c r="E458" s="1">
        <v>45917</v>
      </c>
      <c r="F458" t="s">
        <v>25</v>
      </c>
      <c r="G458" t="s">
        <v>14</v>
      </c>
      <c r="H458" t="s">
        <v>34</v>
      </c>
      <c r="I458">
        <v>91956</v>
      </c>
      <c r="J458" t="s">
        <v>16</v>
      </c>
      <c r="K458" t="s">
        <v>17</v>
      </c>
      <c r="L458">
        <f>Table1[[#This Row],[Discharge_Date]]-Table1[[#This Row],[Admission_Date]]</f>
        <v>2</v>
      </c>
      <c r="M458" t="str">
        <f>IF(Table1[[#This Row],[Treatment_Cost]]&gt;50000,"High","Standard")</f>
        <v>High</v>
      </c>
    </row>
    <row r="459" spans="1:13" x14ac:dyDescent="0.35">
      <c r="A459" t="s">
        <v>490</v>
      </c>
      <c r="B459">
        <v>26</v>
      </c>
      <c r="C459" t="s">
        <v>24</v>
      </c>
      <c r="D459" s="1">
        <v>45930</v>
      </c>
      <c r="E459" s="1">
        <v>45939</v>
      </c>
      <c r="F459" t="s">
        <v>13</v>
      </c>
      <c r="G459" t="s">
        <v>14</v>
      </c>
      <c r="H459" t="s">
        <v>27</v>
      </c>
      <c r="I459">
        <v>38359</v>
      </c>
      <c r="J459" t="s">
        <v>16</v>
      </c>
      <c r="K459" t="s">
        <v>22</v>
      </c>
      <c r="L459">
        <f>Table1[[#This Row],[Discharge_Date]]-Table1[[#This Row],[Admission_Date]]</f>
        <v>9</v>
      </c>
      <c r="M459" t="str">
        <f>IF(Table1[[#This Row],[Treatment_Cost]]&gt;50000,"High","Standard")</f>
        <v>Standard</v>
      </c>
    </row>
    <row r="460" spans="1:13" x14ac:dyDescent="0.35">
      <c r="A460" t="s">
        <v>491</v>
      </c>
      <c r="B460">
        <v>55</v>
      </c>
      <c r="C460" t="s">
        <v>12</v>
      </c>
      <c r="D460" s="1">
        <v>45758</v>
      </c>
      <c r="E460" s="1">
        <v>45761</v>
      </c>
      <c r="F460" t="s">
        <v>48</v>
      </c>
      <c r="G460" t="s">
        <v>33</v>
      </c>
      <c r="H460" t="s">
        <v>27</v>
      </c>
      <c r="I460">
        <v>91600</v>
      </c>
      <c r="J460" t="s">
        <v>28</v>
      </c>
      <c r="K460" t="s">
        <v>29</v>
      </c>
      <c r="L460">
        <f>Table1[[#This Row],[Discharge_Date]]-Table1[[#This Row],[Admission_Date]]</f>
        <v>3</v>
      </c>
      <c r="M460" t="str">
        <f>IF(Table1[[#This Row],[Treatment_Cost]]&gt;50000,"High","Standard")</f>
        <v>High</v>
      </c>
    </row>
    <row r="461" spans="1:13" x14ac:dyDescent="0.35">
      <c r="A461" t="s">
        <v>492</v>
      </c>
      <c r="B461">
        <v>35</v>
      </c>
      <c r="C461" t="s">
        <v>24</v>
      </c>
      <c r="D461" s="1">
        <v>45762</v>
      </c>
      <c r="E461" s="1">
        <v>45771</v>
      </c>
      <c r="F461" t="s">
        <v>13</v>
      </c>
      <c r="G461" t="s">
        <v>20</v>
      </c>
      <c r="H461" t="s">
        <v>21</v>
      </c>
      <c r="I461">
        <v>37028</v>
      </c>
      <c r="J461" t="s">
        <v>16</v>
      </c>
      <c r="K461" t="s">
        <v>22</v>
      </c>
      <c r="L461">
        <f>Table1[[#This Row],[Discharge_Date]]-Table1[[#This Row],[Admission_Date]]</f>
        <v>9</v>
      </c>
      <c r="M461" t="str">
        <f>IF(Table1[[#This Row],[Treatment_Cost]]&gt;50000,"High","Standard")</f>
        <v>Standard</v>
      </c>
    </row>
    <row r="462" spans="1:13" x14ac:dyDescent="0.35">
      <c r="A462" t="s">
        <v>493</v>
      </c>
      <c r="B462">
        <v>26</v>
      </c>
      <c r="C462" t="s">
        <v>24</v>
      </c>
      <c r="D462" s="1">
        <v>45885</v>
      </c>
      <c r="E462" s="1">
        <v>45892</v>
      </c>
      <c r="F462" t="s">
        <v>48</v>
      </c>
      <c r="G462" t="s">
        <v>14</v>
      </c>
      <c r="H462" t="s">
        <v>31</v>
      </c>
      <c r="I462">
        <v>57389</v>
      </c>
      <c r="J462" t="s">
        <v>16</v>
      </c>
      <c r="K462" t="s">
        <v>29</v>
      </c>
      <c r="L462">
        <f>Table1[[#This Row],[Discharge_Date]]-Table1[[#This Row],[Admission_Date]]</f>
        <v>7</v>
      </c>
      <c r="M462" t="str">
        <f>IF(Table1[[#This Row],[Treatment_Cost]]&gt;50000,"High","Standard")</f>
        <v>High</v>
      </c>
    </row>
    <row r="463" spans="1:13" x14ac:dyDescent="0.35">
      <c r="A463" t="s">
        <v>494</v>
      </c>
      <c r="B463">
        <v>42</v>
      </c>
      <c r="C463" t="s">
        <v>24</v>
      </c>
      <c r="D463" s="1">
        <v>45860</v>
      </c>
      <c r="E463" s="1">
        <v>45868</v>
      </c>
      <c r="F463" t="s">
        <v>25</v>
      </c>
      <c r="G463" t="s">
        <v>14</v>
      </c>
      <c r="H463" t="s">
        <v>34</v>
      </c>
      <c r="I463">
        <v>61682</v>
      </c>
      <c r="J463" t="s">
        <v>28</v>
      </c>
      <c r="K463" t="s">
        <v>29</v>
      </c>
      <c r="L463">
        <f>Table1[[#This Row],[Discharge_Date]]-Table1[[#This Row],[Admission_Date]]</f>
        <v>8</v>
      </c>
      <c r="M463" t="str">
        <f>IF(Table1[[#This Row],[Treatment_Cost]]&gt;50000,"High","Standard")</f>
        <v>High</v>
      </c>
    </row>
    <row r="464" spans="1:13" x14ac:dyDescent="0.35">
      <c r="A464" t="s">
        <v>495</v>
      </c>
      <c r="B464">
        <v>48</v>
      </c>
      <c r="C464" t="s">
        <v>24</v>
      </c>
      <c r="D464" s="1">
        <v>45875</v>
      </c>
      <c r="E464" s="1">
        <v>45881</v>
      </c>
      <c r="F464" t="s">
        <v>36</v>
      </c>
      <c r="G464" t="s">
        <v>40</v>
      </c>
      <c r="H464" t="s">
        <v>31</v>
      </c>
      <c r="I464">
        <v>21279</v>
      </c>
      <c r="J464" t="s">
        <v>16</v>
      </c>
      <c r="K464" t="s">
        <v>22</v>
      </c>
      <c r="L464">
        <f>Table1[[#This Row],[Discharge_Date]]-Table1[[#This Row],[Admission_Date]]</f>
        <v>6</v>
      </c>
      <c r="M464" t="str">
        <f>IF(Table1[[#This Row],[Treatment_Cost]]&gt;50000,"High","Standard")</f>
        <v>Standard</v>
      </c>
    </row>
    <row r="465" spans="1:13" x14ac:dyDescent="0.35">
      <c r="A465" t="s">
        <v>496</v>
      </c>
      <c r="B465">
        <v>74</v>
      </c>
      <c r="C465" t="s">
        <v>12</v>
      </c>
      <c r="D465" s="1">
        <v>45898</v>
      </c>
      <c r="E465" s="1">
        <v>45900</v>
      </c>
      <c r="F465" t="s">
        <v>36</v>
      </c>
      <c r="G465" t="s">
        <v>14</v>
      </c>
      <c r="H465" t="s">
        <v>34</v>
      </c>
      <c r="I465">
        <v>91724</v>
      </c>
      <c r="J465" t="s">
        <v>16</v>
      </c>
      <c r="K465" t="s">
        <v>29</v>
      </c>
      <c r="L465">
        <f>Table1[[#This Row],[Discharge_Date]]-Table1[[#This Row],[Admission_Date]]</f>
        <v>2</v>
      </c>
      <c r="M465" t="str">
        <f>IF(Table1[[#This Row],[Treatment_Cost]]&gt;50000,"High","Standard")</f>
        <v>High</v>
      </c>
    </row>
    <row r="466" spans="1:13" x14ac:dyDescent="0.35">
      <c r="A466" t="s">
        <v>497</v>
      </c>
      <c r="B466">
        <v>63</v>
      </c>
      <c r="C466" t="s">
        <v>24</v>
      </c>
      <c r="D466" s="1">
        <v>45867</v>
      </c>
      <c r="E466" s="1">
        <v>45877</v>
      </c>
      <c r="F466" t="s">
        <v>13</v>
      </c>
      <c r="G466" t="s">
        <v>40</v>
      </c>
      <c r="H466" t="s">
        <v>34</v>
      </c>
      <c r="I466">
        <v>84215</v>
      </c>
      <c r="J466" t="s">
        <v>16</v>
      </c>
      <c r="K466" t="s">
        <v>22</v>
      </c>
      <c r="L466">
        <f>Table1[[#This Row],[Discharge_Date]]-Table1[[#This Row],[Admission_Date]]</f>
        <v>10</v>
      </c>
      <c r="M466" t="str">
        <f>IF(Table1[[#This Row],[Treatment_Cost]]&gt;50000,"High","Standard")</f>
        <v>High</v>
      </c>
    </row>
    <row r="467" spans="1:13" x14ac:dyDescent="0.35">
      <c r="A467" t="s">
        <v>498</v>
      </c>
      <c r="B467">
        <v>68</v>
      </c>
      <c r="C467" t="s">
        <v>12</v>
      </c>
      <c r="D467" s="1">
        <v>45878</v>
      </c>
      <c r="E467" s="1">
        <v>45887</v>
      </c>
      <c r="F467" t="s">
        <v>13</v>
      </c>
      <c r="G467" t="s">
        <v>20</v>
      </c>
      <c r="H467" t="s">
        <v>31</v>
      </c>
      <c r="I467">
        <v>30184</v>
      </c>
      <c r="J467" t="s">
        <v>16</v>
      </c>
      <c r="K467" t="s">
        <v>29</v>
      </c>
      <c r="L467">
        <f>Table1[[#This Row],[Discharge_Date]]-Table1[[#This Row],[Admission_Date]]</f>
        <v>9</v>
      </c>
      <c r="M467" t="str">
        <f>IF(Table1[[#This Row],[Treatment_Cost]]&gt;50000,"High","Standard")</f>
        <v>Standard</v>
      </c>
    </row>
    <row r="468" spans="1:13" x14ac:dyDescent="0.35">
      <c r="A468" t="s">
        <v>499</v>
      </c>
      <c r="B468">
        <v>45</v>
      </c>
      <c r="C468" t="s">
        <v>24</v>
      </c>
      <c r="D468" s="1">
        <v>45679</v>
      </c>
      <c r="E468" s="1">
        <v>45685</v>
      </c>
      <c r="F468" t="s">
        <v>25</v>
      </c>
      <c r="G468" t="s">
        <v>20</v>
      </c>
      <c r="H468" t="s">
        <v>34</v>
      </c>
      <c r="I468">
        <v>46369</v>
      </c>
      <c r="J468" t="s">
        <v>16</v>
      </c>
      <c r="K468" t="s">
        <v>17</v>
      </c>
      <c r="L468">
        <f>Table1[[#This Row],[Discharge_Date]]-Table1[[#This Row],[Admission_Date]]</f>
        <v>6</v>
      </c>
      <c r="M468" t="str">
        <f>IF(Table1[[#This Row],[Treatment_Cost]]&gt;50000,"High","Standard")</f>
        <v>Standard</v>
      </c>
    </row>
    <row r="469" spans="1:13" x14ac:dyDescent="0.35">
      <c r="A469" t="s">
        <v>500</v>
      </c>
      <c r="B469">
        <v>45</v>
      </c>
      <c r="C469" t="s">
        <v>24</v>
      </c>
      <c r="D469" s="1">
        <v>45801</v>
      </c>
      <c r="E469" s="1">
        <v>45808</v>
      </c>
      <c r="F469" t="s">
        <v>13</v>
      </c>
      <c r="G469" t="s">
        <v>40</v>
      </c>
      <c r="H469" t="s">
        <v>21</v>
      </c>
      <c r="I469">
        <v>74237</v>
      </c>
      <c r="J469" t="s">
        <v>16</v>
      </c>
      <c r="K469" t="s">
        <v>22</v>
      </c>
      <c r="L469">
        <f>Table1[[#This Row],[Discharge_Date]]-Table1[[#This Row],[Admission_Date]]</f>
        <v>7</v>
      </c>
      <c r="M469" t="str">
        <f>IF(Table1[[#This Row],[Treatment_Cost]]&gt;50000,"High","Standard")</f>
        <v>High</v>
      </c>
    </row>
    <row r="470" spans="1:13" x14ac:dyDescent="0.35">
      <c r="A470" t="s">
        <v>501</v>
      </c>
      <c r="B470">
        <v>41</v>
      </c>
      <c r="C470" t="s">
        <v>12</v>
      </c>
      <c r="D470" s="1">
        <v>45937</v>
      </c>
      <c r="E470" s="1">
        <v>45946</v>
      </c>
      <c r="F470" t="s">
        <v>25</v>
      </c>
      <c r="G470" t="s">
        <v>20</v>
      </c>
      <c r="H470" t="s">
        <v>31</v>
      </c>
      <c r="I470">
        <v>78530</v>
      </c>
      <c r="J470" t="s">
        <v>28</v>
      </c>
      <c r="K470" t="s">
        <v>17</v>
      </c>
      <c r="L470">
        <f>Table1[[#This Row],[Discharge_Date]]-Table1[[#This Row],[Admission_Date]]</f>
        <v>9</v>
      </c>
      <c r="M470" t="str">
        <f>IF(Table1[[#This Row],[Treatment_Cost]]&gt;50000,"High","Standard")</f>
        <v>High</v>
      </c>
    </row>
    <row r="471" spans="1:13" x14ac:dyDescent="0.35">
      <c r="A471" t="s">
        <v>502</v>
      </c>
      <c r="B471">
        <v>43</v>
      </c>
      <c r="C471" t="s">
        <v>12</v>
      </c>
      <c r="D471" s="1">
        <v>45900</v>
      </c>
      <c r="E471" s="1">
        <v>45903</v>
      </c>
      <c r="F471" t="s">
        <v>19</v>
      </c>
      <c r="G471" t="s">
        <v>20</v>
      </c>
      <c r="H471" t="s">
        <v>21</v>
      </c>
      <c r="I471">
        <v>92198</v>
      </c>
      <c r="J471" t="s">
        <v>16</v>
      </c>
      <c r="K471" t="s">
        <v>17</v>
      </c>
      <c r="L471">
        <f>Table1[[#This Row],[Discharge_Date]]-Table1[[#This Row],[Admission_Date]]</f>
        <v>3</v>
      </c>
      <c r="M471" t="str">
        <f>IF(Table1[[#This Row],[Treatment_Cost]]&gt;50000,"High","Standard")</f>
        <v>High</v>
      </c>
    </row>
    <row r="472" spans="1:13" x14ac:dyDescent="0.35">
      <c r="A472" t="s">
        <v>503</v>
      </c>
      <c r="B472">
        <v>44</v>
      </c>
      <c r="C472" t="s">
        <v>24</v>
      </c>
      <c r="D472" s="1">
        <v>45693</v>
      </c>
      <c r="E472" s="1">
        <v>45699</v>
      </c>
      <c r="F472" t="s">
        <v>13</v>
      </c>
      <c r="G472" t="s">
        <v>33</v>
      </c>
      <c r="H472" t="s">
        <v>31</v>
      </c>
      <c r="I472">
        <v>69223</v>
      </c>
      <c r="J472" t="s">
        <v>28</v>
      </c>
      <c r="K472" t="s">
        <v>29</v>
      </c>
      <c r="L472">
        <f>Table1[[#This Row],[Discharge_Date]]-Table1[[#This Row],[Admission_Date]]</f>
        <v>6</v>
      </c>
      <c r="M472" t="str">
        <f>IF(Table1[[#This Row],[Treatment_Cost]]&gt;50000,"High","Standard")</f>
        <v>High</v>
      </c>
    </row>
    <row r="473" spans="1:13" x14ac:dyDescent="0.35">
      <c r="A473" t="s">
        <v>504</v>
      </c>
      <c r="B473">
        <v>40</v>
      </c>
      <c r="C473" t="s">
        <v>12</v>
      </c>
      <c r="D473" s="1">
        <v>45670</v>
      </c>
      <c r="E473" s="1">
        <v>45678</v>
      </c>
      <c r="F473" t="s">
        <v>48</v>
      </c>
      <c r="G473" t="s">
        <v>26</v>
      </c>
      <c r="H473" t="s">
        <v>34</v>
      </c>
      <c r="I473">
        <v>20680</v>
      </c>
      <c r="J473" t="s">
        <v>16</v>
      </c>
      <c r="K473" t="s">
        <v>17</v>
      </c>
      <c r="L473">
        <f>Table1[[#This Row],[Discharge_Date]]-Table1[[#This Row],[Admission_Date]]</f>
        <v>8</v>
      </c>
      <c r="M473" t="str">
        <f>IF(Table1[[#This Row],[Treatment_Cost]]&gt;50000,"High","Standard")</f>
        <v>Standard</v>
      </c>
    </row>
    <row r="474" spans="1:13" x14ac:dyDescent="0.35">
      <c r="A474" t="s">
        <v>505</v>
      </c>
      <c r="B474">
        <v>22</v>
      </c>
      <c r="C474" t="s">
        <v>24</v>
      </c>
      <c r="D474" s="1">
        <v>45796</v>
      </c>
      <c r="E474" s="1">
        <v>45799</v>
      </c>
      <c r="F474" t="s">
        <v>25</v>
      </c>
      <c r="G474" t="s">
        <v>40</v>
      </c>
      <c r="H474" t="s">
        <v>15</v>
      </c>
      <c r="I474">
        <v>10063</v>
      </c>
      <c r="J474" t="s">
        <v>16</v>
      </c>
      <c r="K474" t="s">
        <v>17</v>
      </c>
      <c r="L474">
        <f>Table1[[#This Row],[Discharge_Date]]-Table1[[#This Row],[Admission_Date]]</f>
        <v>3</v>
      </c>
      <c r="M474" t="str">
        <f>IF(Table1[[#This Row],[Treatment_Cost]]&gt;50000,"High","Standard")</f>
        <v>Standard</v>
      </c>
    </row>
    <row r="475" spans="1:13" x14ac:dyDescent="0.35">
      <c r="A475" t="s">
        <v>506</v>
      </c>
      <c r="B475">
        <v>73</v>
      </c>
      <c r="C475" t="s">
        <v>24</v>
      </c>
      <c r="D475" s="1">
        <v>45707</v>
      </c>
      <c r="E475" s="1">
        <v>45708</v>
      </c>
      <c r="F475" t="s">
        <v>25</v>
      </c>
      <c r="G475" t="s">
        <v>26</v>
      </c>
      <c r="H475" t="s">
        <v>21</v>
      </c>
      <c r="I475">
        <v>49103</v>
      </c>
      <c r="J475" t="s">
        <v>16</v>
      </c>
      <c r="K475" t="s">
        <v>29</v>
      </c>
      <c r="L475">
        <f>Table1[[#This Row],[Discharge_Date]]-Table1[[#This Row],[Admission_Date]]</f>
        <v>1</v>
      </c>
      <c r="M475" t="str">
        <f>IF(Table1[[#This Row],[Treatment_Cost]]&gt;50000,"High","Standard")</f>
        <v>Standard</v>
      </c>
    </row>
    <row r="476" spans="1:13" x14ac:dyDescent="0.35">
      <c r="A476" t="s">
        <v>507</v>
      </c>
      <c r="B476">
        <v>47</v>
      </c>
      <c r="C476" t="s">
        <v>12</v>
      </c>
      <c r="D476" s="1">
        <v>45772</v>
      </c>
      <c r="E476" s="1">
        <v>45773</v>
      </c>
      <c r="F476" t="s">
        <v>48</v>
      </c>
      <c r="G476" t="s">
        <v>20</v>
      </c>
      <c r="H476" t="s">
        <v>31</v>
      </c>
      <c r="I476">
        <v>6080</v>
      </c>
      <c r="J476" t="s">
        <v>28</v>
      </c>
      <c r="K476" t="s">
        <v>29</v>
      </c>
      <c r="L476">
        <f>Table1[[#This Row],[Discharge_Date]]-Table1[[#This Row],[Admission_Date]]</f>
        <v>1</v>
      </c>
      <c r="M476" t="str">
        <f>IF(Table1[[#This Row],[Treatment_Cost]]&gt;50000,"High","Standard")</f>
        <v>Standard</v>
      </c>
    </row>
    <row r="477" spans="1:13" x14ac:dyDescent="0.35">
      <c r="A477" t="s">
        <v>508</v>
      </c>
      <c r="B477">
        <v>64</v>
      </c>
      <c r="C477" t="s">
        <v>24</v>
      </c>
      <c r="D477" s="1">
        <v>45789</v>
      </c>
      <c r="E477" s="1">
        <v>45799</v>
      </c>
      <c r="F477" t="s">
        <v>19</v>
      </c>
      <c r="G477" t="s">
        <v>14</v>
      </c>
      <c r="H477" t="s">
        <v>31</v>
      </c>
      <c r="I477">
        <v>22724</v>
      </c>
      <c r="J477" t="s">
        <v>28</v>
      </c>
      <c r="K477" t="s">
        <v>29</v>
      </c>
      <c r="L477">
        <f>Table1[[#This Row],[Discharge_Date]]-Table1[[#This Row],[Admission_Date]]</f>
        <v>10</v>
      </c>
      <c r="M477" t="str">
        <f>IF(Table1[[#This Row],[Treatment_Cost]]&gt;50000,"High","Standard")</f>
        <v>Standard</v>
      </c>
    </row>
    <row r="478" spans="1:13" x14ac:dyDescent="0.35">
      <c r="A478" t="s">
        <v>509</v>
      </c>
      <c r="B478">
        <v>53</v>
      </c>
      <c r="C478" t="s">
        <v>12</v>
      </c>
      <c r="D478" s="1">
        <v>45716</v>
      </c>
      <c r="E478" s="1">
        <v>45719</v>
      </c>
      <c r="F478" t="s">
        <v>48</v>
      </c>
      <c r="G478" t="s">
        <v>33</v>
      </c>
      <c r="H478" t="s">
        <v>21</v>
      </c>
      <c r="I478">
        <v>83237</v>
      </c>
      <c r="J478" t="s">
        <v>16</v>
      </c>
      <c r="K478" t="s">
        <v>29</v>
      </c>
      <c r="L478">
        <f>Table1[[#This Row],[Discharge_Date]]-Table1[[#This Row],[Admission_Date]]</f>
        <v>3</v>
      </c>
      <c r="M478" t="str">
        <f>IF(Table1[[#This Row],[Treatment_Cost]]&gt;50000,"High","Standard")</f>
        <v>High</v>
      </c>
    </row>
    <row r="479" spans="1:13" x14ac:dyDescent="0.35">
      <c r="A479" t="s">
        <v>510</v>
      </c>
      <c r="B479">
        <v>48</v>
      </c>
      <c r="C479" t="s">
        <v>24</v>
      </c>
      <c r="D479" s="1">
        <v>45812</v>
      </c>
      <c r="E479" s="1">
        <v>45816</v>
      </c>
      <c r="F479" t="s">
        <v>19</v>
      </c>
      <c r="G479" t="s">
        <v>33</v>
      </c>
      <c r="H479" t="s">
        <v>27</v>
      </c>
      <c r="I479">
        <v>11044</v>
      </c>
      <c r="J479" t="s">
        <v>28</v>
      </c>
      <c r="K479" t="s">
        <v>17</v>
      </c>
      <c r="L479">
        <f>Table1[[#This Row],[Discharge_Date]]-Table1[[#This Row],[Admission_Date]]</f>
        <v>4</v>
      </c>
      <c r="M479" t="str">
        <f>IF(Table1[[#This Row],[Treatment_Cost]]&gt;50000,"High","Standard")</f>
        <v>Standard</v>
      </c>
    </row>
    <row r="480" spans="1:13" x14ac:dyDescent="0.35">
      <c r="A480" t="s">
        <v>511</v>
      </c>
      <c r="B480">
        <v>26</v>
      </c>
      <c r="C480" t="s">
        <v>24</v>
      </c>
      <c r="D480" s="1">
        <v>45920</v>
      </c>
      <c r="E480" s="1">
        <v>45927</v>
      </c>
      <c r="F480" t="s">
        <v>25</v>
      </c>
      <c r="G480" t="s">
        <v>33</v>
      </c>
      <c r="H480" t="s">
        <v>21</v>
      </c>
      <c r="I480">
        <v>64215</v>
      </c>
      <c r="J480" t="s">
        <v>28</v>
      </c>
      <c r="K480" t="s">
        <v>22</v>
      </c>
      <c r="L480">
        <f>Table1[[#This Row],[Discharge_Date]]-Table1[[#This Row],[Admission_Date]]</f>
        <v>7</v>
      </c>
      <c r="M480" t="str">
        <f>IF(Table1[[#This Row],[Treatment_Cost]]&gt;50000,"High","Standard")</f>
        <v>High</v>
      </c>
    </row>
    <row r="481" spans="1:13" x14ac:dyDescent="0.35">
      <c r="A481" t="s">
        <v>512</v>
      </c>
      <c r="B481">
        <v>67</v>
      </c>
      <c r="C481" t="s">
        <v>12</v>
      </c>
      <c r="D481" s="1">
        <v>45799</v>
      </c>
      <c r="E481" s="1">
        <v>45809</v>
      </c>
      <c r="F481" t="s">
        <v>48</v>
      </c>
      <c r="G481" t="s">
        <v>14</v>
      </c>
      <c r="H481" t="s">
        <v>15</v>
      </c>
      <c r="I481">
        <v>11604</v>
      </c>
      <c r="J481" t="s">
        <v>28</v>
      </c>
      <c r="K481" t="s">
        <v>22</v>
      </c>
      <c r="L481">
        <f>Table1[[#This Row],[Discharge_Date]]-Table1[[#This Row],[Admission_Date]]</f>
        <v>10</v>
      </c>
      <c r="M481" t="str">
        <f>IF(Table1[[#This Row],[Treatment_Cost]]&gt;50000,"High","Standard")</f>
        <v>Standard</v>
      </c>
    </row>
    <row r="482" spans="1:13" x14ac:dyDescent="0.35">
      <c r="A482" t="s">
        <v>513</v>
      </c>
      <c r="B482">
        <v>31</v>
      </c>
      <c r="C482" t="s">
        <v>24</v>
      </c>
      <c r="D482" s="1">
        <v>45667</v>
      </c>
      <c r="E482" s="1">
        <v>45677</v>
      </c>
      <c r="F482" t="s">
        <v>36</v>
      </c>
      <c r="G482" t="s">
        <v>40</v>
      </c>
      <c r="H482" t="s">
        <v>27</v>
      </c>
      <c r="I482">
        <v>62931</v>
      </c>
      <c r="J482" t="s">
        <v>16</v>
      </c>
      <c r="K482" t="s">
        <v>22</v>
      </c>
      <c r="L482">
        <f>Table1[[#This Row],[Discharge_Date]]-Table1[[#This Row],[Admission_Date]]</f>
        <v>10</v>
      </c>
      <c r="M482" t="str">
        <f>IF(Table1[[#This Row],[Treatment_Cost]]&gt;50000,"High","Standard")</f>
        <v>High</v>
      </c>
    </row>
    <row r="483" spans="1:13" x14ac:dyDescent="0.35">
      <c r="A483" t="s">
        <v>514</v>
      </c>
      <c r="B483">
        <v>54</v>
      </c>
      <c r="C483" t="s">
        <v>24</v>
      </c>
      <c r="D483" s="1">
        <v>45705</v>
      </c>
      <c r="E483" s="1">
        <v>45714</v>
      </c>
      <c r="F483" t="s">
        <v>25</v>
      </c>
      <c r="G483" t="s">
        <v>14</v>
      </c>
      <c r="H483" t="s">
        <v>27</v>
      </c>
      <c r="I483">
        <v>60495</v>
      </c>
      <c r="J483" t="s">
        <v>28</v>
      </c>
      <c r="K483" t="s">
        <v>17</v>
      </c>
      <c r="L483">
        <f>Table1[[#This Row],[Discharge_Date]]-Table1[[#This Row],[Admission_Date]]</f>
        <v>9</v>
      </c>
      <c r="M483" t="str">
        <f>IF(Table1[[#This Row],[Treatment_Cost]]&gt;50000,"High","Standard")</f>
        <v>High</v>
      </c>
    </row>
    <row r="484" spans="1:13" x14ac:dyDescent="0.35">
      <c r="A484" t="s">
        <v>515</v>
      </c>
      <c r="B484">
        <v>51</v>
      </c>
      <c r="C484" t="s">
        <v>12</v>
      </c>
      <c r="D484" s="1">
        <v>45900</v>
      </c>
      <c r="E484" s="1">
        <v>45910</v>
      </c>
      <c r="F484" t="s">
        <v>19</v>
      </c>
      <c r="G484" t="s">
        <v>40</v>
      </c>
      <c r="H484" t="s">
        <v>34</v>
      </c>
      <c r="I484">
        <v>6406</v>
      </c>
      <c r="J484" t="s">
        <v>28</v>
      </c>
      <c r="K484" t="s">
        <v>22</v>
      </c>
      <c r="L484">
        <f>Table1[[#This Row],[Discharge_Date]]-Table1[[#This Row],[Admission_Date]]</f>
        <v>10</v>
      </c>
      <c r="M484" t="str">
        <f>IF(Table1[[#This Row],[Treatment_Cost]]&gt;50000,"High","Standard")</f>
        <v>Standard</v>
      </c>
    </row>
    <row r="485" spans="1:13" x14ac:dyDescent="0.35">
      <c r="A485" t="s">
        <v>516</v>
      </c>
      <c r="B485">
        <v>31</v>
      </c>
      <c r="C485" t="s">
        <v>12</v>
      </c>
      <c r="D485" s="1">
        <v>45872</v>
      </c>
      <c r="E485" s="1">
        <v>45875</v>
      </c>
      <c r="F485" t="s">
        <v>19</v>
      </c>
      <c r="G485" t="s">
        <v>14</v>
      </c>
      <c r="H485" t="s">
        <v>21</v>
      </c>
      <c r="I485">
        <v>60115</v>
      </c>
      <c r="J485" t="s">
        <v>28</v>
      </c>
      <c r="K485" t="s">
        <v>22</v>
      </c>
      <c r="L485">
        <f>Table1[[#This Row],[Discharge_Date]]-Table1[[#This Row],[Admission_Date]]</f>
        <v>3</v>
      </c>
      <c r="M485" t="str">
        <f>IF(Table1[[#This Row],[Treatment_Cost]]&gt;50000,"High","Standard")</f>
        <v>High</v>
      </c>
    </row>
    <row r="486" spans="1:13" x14ac:dyDescent="0.35">
      <c r="A486" t="s">
        <v>517</v>
      </c>
      <c r="B486">
        <v>75</v>
      </c>
      <c r="C486" t="s">
        <v>24</v>
      </c>
      <c r="D486" s="1">
        <v>45911</v>
      </c>
      <c r="E486" s="1">
        <v>45919</v>
      </c>
      <c r="F486" t="s">
        <v>13</v>
      </c>
      <c r="G486" t="s">
        <v>14</v>
      </c>
      <c r="H486" t="s">
        <v>34</v>
      </c>
      <c r="I486">
        <v>72445</v>
      </c>
      <c r="J486" t="s">
        <v>28</v>
      </c>
      <c r="K486" t="s">
        <v>29</v>
      </c>
      <c r="L486">
        <f>Table1[[#This Row],[Discharge_Date]]-Table1[[#This Row],[Admission_Date]]</f>
        <v>8</v>
      </c>
      <c r="M486" t="str">
        <f>IF(Table1[[#This Row],[Treatment_Cost]]&gt;50000,"High","Standard")</f>
        <v>High</v>
      </c>
    </row>
    <row r="487" spans="1:13" x14ac:dyDescent="0.35">
      <c r="A487" t="s">
        <v>518</v>
      </c>
      <c r="B487">
        <v>42</v>
      </c>
      <c r="C487" t="s">
        <v>12</v>
      </c>
      <c r="D487" s="1">
        <v>45814</v>
      </c>
      <c r="E487" s="1">
        <v>45820</v>
      </c>
      <c r="F487" t="s">
        <v>19</v>
      </c>
      <c r="G487" t="s">
        <v>40</v>
      </c>
      <c r="H487" t="s">
        <v>27</v>
      </c>
      <c r="I487">
        <v>31888</v>
      </c>
      <c r="J487" t="s">
        <v>16</v>
      </c>
      <c r="K487" t="s">
        <v>22</v>
      </c>
      <c r="L487">
        <f>Table1[[#This Row],[Discharge_Date]]-Table1[[#This Row],[Admission_Date]]</f>
        <v>6</v>
      </c>
      <c r="M487" t="str">
        <f>IF(Table1[[#This Row],[Treatment_Cost]]&gt;50000,"High","Standard")</f>
        <v>Standard</v>
      </c>
    </row>
    <row r="488" spans="1:13" x14ac:dyDescent="0.35">
      <c r="A488" t="s">
        <v>519</v>
      </c>
      <c r="B488">
        <v>63</v>
      </c>
      <c r="C488" t="s">
        <v>24</v>
      </c>
      <c r="D488" s="1">
        <v>45761</v>
      </c>
      <c r="E488" s="1">
        <v>45764</v>
      </c>
      <c r="F488" t="s">
        <v>19</v>
      </c>
      <c r="G488" t="s">
        <v>26</v>
      </c>
      <c r="H488" t="s">
        <v>27</v>
      </c>
      <c r="I488">
        <v>76652</v>
      </c>
      <c r="J488" t="s">
        <v>16</v>
      </c>
      <c r="K488" t="s">
        <v>29</v>
      </c>
      <c r="L488">
        <f>Table1[[#This Row],[Discharge_Date]]-Table1[[#This Row],[Admission_Date]]</f>
        <v>3</v>
      </c>
      <c r="M488" t="str">
        <f>IF(Table1[[#This Row],[Treatment_Cost]]&gt;50000,"High","Standard")</f>
        <v>High</v>
      </c>
    </row>
    <row r="489" spans="1:13" x14ac:dyDescent="0.35">
      <c r="A489" t="s">
        <v>520</v>
      </c>
      <c r="B489">
        <v>29</v>
      </c>
      <c r="C489" t="s">
        <v>12</v>
      </c>
      <c r="D489" s="1">
        <v>45990</v>
      </c>
      <c r="E489" s="1">
        <v>45991</v>
      </c>
      <c r="F489" t="s">
        <v>36</v>
      </c>
      <c r="G489" t="s">
        <v>20</v>
      </c>
      <c r="H489" t="s">
        <v>27</v>
      </c>
      <c r="I489">
        <v>68506</v>
      </c>
      <c r="J489" t="s">
        <v>16</v>
      </c>
      <c r="K489" t="s">
        <v>17</v>
      </c>
      <c r="L489">
        <f>Table1[[#This Row],[Discharge_Date]]-Table1[[#This Row],[Admission_Date]]</f>
        <v>1</v>
      </c>
      <c r="M489" t="str">
        <f>IF(Table1[[#This Row],[Treatment_Cost]]&gt;50000,"High","Standard")</f>
        <v>High</v>
      </c>
    </row>
    <row r="490" spans="1:13" x14ac:dyDescent="0.35">
      <c r="A490" t="s">
        <v>521</v>
      </c>
      <c r="B490">
        <v>77</v>
      </c>
      <c r="C490" t="s">
        <v>12</v>
      </c>
      <c r="D490" s="1">
        <v>45926</v>
      </c>
      <c r="E490" s="1">
        <v>45929</v>
      </c>
      <c r="F490" t="s">
        <v>48</v>
      </c>
      <c r="G490" t="s">
        <v>14</v>
      </c>
      <c r="H490" t="s">
        <v>27</v>
      </c>
      <c r="I490">
        <v>44154</v>
      </c>
      <c r="J490" t="s">
        <v>28</v>
      </c>
      <c r="K490" t="s">
        <v>17</v>
      </c>
      <c r="L490">
        <f>Table1[[#This Row],[Discharge_Date]]-Table1[[#This Row],[Admission_Date]]</f>
        <v>3</v>
      </c>
      <c r="M490" t="str">
        <f>IF(Table1[[#This Row],[Treatment_Cost]]&gt;50000,"High","Standard")</f>
        <v>Standard</v>
      </c>
    </row>
    <row r="491" spans="1:13" x14ac:dyDescent="0.35">
      <c r="A491" t="s">
        <v>522</v>
      </c>
      <c r="B491">
        <v>54</v>
      </c>
      <c r="C491" t="s">
        <v>12</v>
      </c>
      <c r="D491" s="1">
        <v>45665</v>
      </c>
      <c r="E491" s="1">
        <v>45673</v>
      </c>
      <c r="F491" t="s">
        <v>36</v>
      </c>
      <c r="G491" t="s">
        <v>33</v>
      </c>
      <c r="H491" t="s">
        <v>15</v>
      </c>
      <c r="I491">
        <v>62250</v>
      </c>
      <c r="J491" t="s">
        <v>16</v>
      </c>
      <c r="K491" t="s">
        <v>22</v>
      </c>
      <c r="L491">
        <f>Table1[[#This Row],[Discharge_Date]]-Table1[[#This Row],[Admission_Date]]</f>
        <v>8</v>
      </c>
      <c r="M491" t="str">
        <f>IF(Table1[[#This Row],[Treatment_Cost]]&gt;50000,"High","Standard")</f>
        <v>High</v>
      </c>
    </row>
    <row r="492" spans="1:13" x14ac:dyDescent="0.35">
      <c r="A492" t="s">
        <v>523</v>
      </c>
      <c r="B492">
        <v>68</v>
      </c>
      <c r="C492" t="s">
        <v>24</v>
      </c>
      <c r="D492" s="1">
        <v>45922</v>
      </c>
      <c r="E492" s="1">
        <v>45924</v>
      </c>
      <c r="F492" t="s">
        <v>36</v>
      </c>
      <c r="G492" t="s">
        <v>14</v>
      </c>
      <c r="H492" t="s">
        <v>15</v>
      </c>
      <c r="I492">
        <v>52305</v>
      </c>
      <c r="J492" t="s">
        <v>28</v>
      </c>
      <c r="K492" t="s">
        <v>17</v>
      </c>
      <c r="L492">
        <f>Table1[[#This Row],[Discharge_Date]]-Table1[[#This Row],[Admission_Date]]</f>
        <v>2</v>
      </c>
      <c r="M492" t="str">
        <f>IF(Table1[[#This Row],[Treatment_Cost]]&gt;50000,"High","Standard")</f>
        <v>High</v>
      </c>
    </row>
    <row r="493" spans="1:13" x14ac:dyDescent="0.35">
      <c r="A493" t="s">
        <v>524</v>
      </c>
      <c r="B493">
        <v>78</v>
      </c>
      <c r="C493" t="s">
        <v>24</v>
      </c>
      <c r="D493" s="1">
        <v>45697</v>
      </c>
      <c r="E493" s="1">
        <v>45706</v>
      </c>
      <c r="F493" t="s">
        <v>36</v>
      </c>
      <c r="G493" t="s">
        <v>20</v>
      </c>
      <c r="H493" t="s">
        <v>31</v>
      </c>
      <c r="I493">
        <v>85701</v>
      </c>
      <c r="J493" t="s">
        <v>28</v>
      </c>
      <c r="K493" t="s">
        <v>17</v>
      </c>
      <c r="L493">
        <f>Table1[[#This Row],[Discharge_Date]]-Table1[[#This Row],[Admission_Date]]</f>
        <v>9</v>
      </c>
      <c r="M493" t="str">
        <f>IF(Table1[[#This Row],[Treatment_Cost]]&gt;50000,"High","Standard")</f>
        <v>High</v>
      </c>
    </row>
    <row r="494" spans="1:13" x14ac:dyDescent="0.35">
      <c r="A494" t="s">
        <v>525</v>
      </c>
      <c r="B494">
        <v>53</v>
      </c>
      <c r="C494" t="s">
        <v>24</v>
      </c>
      <c r="D494" s="1">
        <v>45937</v>
      </c>
      <c r="E494" s="1">
        <v>45938</v>
      </c>
      <c r="F494" t="s">
        <v>19</v>
      </c>
      <c r="G494" t="s">
        <v>33</v>
      </c>
      <c r="H494" t="s">
        <v>31</v>
      </c>
      <c r="I494">
        <v>17205</v>
      </c>
      <c r="J494" t="s">
        <v>16</v>
      </c>
      <c r="K494" t="s">
        <v>22</v>
      </c>
      <c r="L494">
        <f>Table1[[#This Row],[Discharge_Date]]-Table1[[#This Row],[Admission_Date]]</f>
        <v>1</v>
      </c>
      <c r="M494" t="str">
        <f>IF(Table1[[#This Row],[Treatment_Cost]]&gt;50000,"High","Standard")</f>
        <v>Standard</v>
      </c>
    </row>
    <row r="495" spans="1:13" x14ac:dyDescent="0.35">
      <c r="A495" t="s">
        <v>526</v>
      </c>
      <c r="B495">
        <v>59</v>
      </c>
      <c r="C495" t="s">
        <v>24</v>
      </c>
      <c r="D495" s="1">
        <v>45955</v>
      </c>
      <c r="E495" s="1">
        <v>45961</v>
      </c>
      <c r="F495" t="s">
        <v>48</v>
      </c>
      <c r="G495" t="s">
        <v>26</v>
      </c>
      <c r="H495" t="s">
        <v>21</v>
      </c>
      <c r="I495">
        <v>89384</v>
      </c>
      <c r="J495" t="s">
        <v>16</v>
      </c>
      <c r="K495" t="s">
        <v>29</v>
      </c>
      <c r="L495">
        <f>Table1[[#This Row],[Discharge_Date]]-Table1[[#This Row],[Admission_Date]]</f>
        <v>6</v>
      </c>
      <c r="M495" t="str">
        <f>IF(Table1[[#This Row],[Treatment_Cost]]&gt;50000,"High","Standard")</f>
        <v>High</v>
      </c>
    </row>
    <row r="496" spans="1:13" x14ac:dyDescent="0.35">
      <c r="A496" t="s">
        <v>527</v>
      </c>
      <c r="B496">
        <v>57</v>
      </c>
      <c r="C496" t="s">
        <v>24</v>
      </c>
      <c r="D496" s="1">
        <v>45976</v>
      </c>
      <c r="E496" s="1">
        <v>45986</v>
      </c>
      <c r="F496" t="s">
        <v>19</v>
      </c>
      <c r="G496" t="s">
        <v>14</v>
      </c>
      <c r="H496" t="s">
        <v>31</v>
      </c>
      <c r="I496">
        <v>9843</v>
      </c>
      <c r="J496" t="s">
        <v>16</v>
      </c>
      <c r="K496" t="s">
        <v>17</v>
      </c>
      <c r="L496">
        <f>Table1[[#This Row],[Discharge_Date]]-Table1[[#This Row],[Admission_Date]]</f>
        <v>10</v>
      </c>
      <c r="M496" t="str">
        <f>IF(Table1[[#This Row],[Treatment_Cost]]&gt;50000,"High","Standard")</f>
        <v>Standard</v>
      </c>
    </row>
    <row r="497" spans="1:13" x14ac:dyDescent="0.35">
      <c r="A497" t="s">
        <v>528</v>
      </c>
      <c r="B497">
        <v>50</v>
      </c>
      <c r="C497" t="s">
        <v>12</v>
      </c>
      <c r="D497" s="1">
        <v>45834</v>
      </c>
      <c r="E497" s="1">
        <v>45843</v>
      </c>
      <c r="F497" t="s">
        <v>48</v>
      </c>
      <c r="G497" t="s">
        <v>14</v>
      </c>
      <c r="H497" t="s">
        <v>34</v>
      </c>
      <c r="I497">
        <v>30934</v>
      </c>
      <c r="J497" t="s">
        <v>28</v>
      </c>
      <c r="K497" t="s">
        <v>17</v>
      </c>
      <c r="L497">
        <f>Table1[[#This Row],[Discharge_Date]]-Table1[[#This Row],[Admission_Date]]</f>
        <v>9</v>
      </c>
      <c r="M497" t="str">
        <f>IF(Table1[[#This Row],[Treatment_Cost]]&gt;50000,"High","Standard")</f>
        <v>Standard</v>
      </c>
    </row>
    <row r="498" spans="1:13" x14ac:dyDescent="0.35">
      <c r="A498" t="s">
        <v>529</v>
      </c>
      <c r="B498">
        <v>64</v>
      </c>
      <c r="C498" t="s">
        <v>24</v>
      </c>
      <c r="D498" s="1">
        <v>45772</v>
      </c>
      <c r="E498" s="1">
        <v>45778</v>
      </c>
      <c r="F498" t="s">
        <v>48</v>
      </c>
      <c r="G498" t="s">
        <v>14</v>
      </c>
      <c r="H498" t="s">
        <v>21</v>
      </c>
      <c r="I498">
        <v>89266</v>
      </c>
      <c r="J498" t="s">
        <v>16</v>
      </c>
      <c r="K498" t="s">
        <v>17</v>
      </c>
      <c r="L498">
        <f>Table1[[#This Row],[Discharge_Date]]-Table1[[#This Row],[Admission_Date]]</f>
        <v>6</v>
      </c>
      <c r="M498" t="str">
        <f>IF(Table1[[#This Row],[Treatment_Cost]]&gt;50000,"High","Standard")</f>
        <v>High</v>
      </c>
    </row>
    <row r="499" spans="1:13" x14ac:dyDescent="0.35">
      <c r="A499" t="s">
        <v>530</v>
      </c>
      <c r="B499">
        <v>36</v>
      </c>
      <c r="C499" t="s">
        <v>24</v>
      </c>
      <c r="D499" s="1">
        <v>45909</v>
      </c>
      <c r="E499" s="1">
        <v>45910</v>
      </c>
      <c r="F499" t="s">
        <v>36</v>
      </c>
      <c r="G499" t="s">
        <v>40</v>
      </c>
      <c r="H499" t="s">
        <v>15</v>
      </c>
      <c r="I499">
        <v>62194</v>
      </c>
      <c r="J499" t="s">
        <v>16</v>
      </c>
      <c r="K499" t="s">
        <v>29</v>
      </c>
      <c r="L499">
        <f>Table1[[#This Row],[Discharge_Date]]-Table1[[#This Row],[Admission_Date]]</f>
        <v>1</v>
      </c>
      <c r="M499" t="str">
        <f>IF(Table1[[#This Row],[Treatment_Cost]]&gt;50000,"High","Standard")</f>
        <v>High</v>
      </c>
    </row>
    <row r="500" spans="1:13" x14ac:dyDescent="0.35">
      <c r="A500" t="s">
        <v>531</v>
      </c>
      <c r="B500">
        <v>54</v>
      </c>
      <c r="C500" t="s">
        <v>24</v>
      </c>
      <c r="D500" s="1">
        <v>45731</v>
      </c>
      <c r="E500" s="1">
        <v>45733</v>
      </c>
      <c r="F500" t="s">
        <v>48</v>
      </c>
      <c r="G500" t="s">
        <v>26</v>
      </c>
      <c r="H500" t="s">
        <v>21</v>
      </c>
      <c r="I500">
        <v>10703</v>
      </c>
      <c r="J500" t="s">
        <v>28</v>
      </c>
      <c r="K500" t="s">
        <v>22</v>
      </c>
      <c r="L500">
        <f>Table1[[#This Row],[Discharge_Date]]-Table1[[#This Row],[Admission_Date]]</f>
        <v>2</v>
      </c>
      <c r="M500" t="str">
        <f>IF(Table1[[#This Row],[Treatment_Cost]]&gt;50000,"High","Standard")</f>
        <v>Standard</v>
      </c>
    </row>
    <row r="501" spans="1:13" x14ac:dyDescent="0.35">
      <c r="A501" t="s">
        <v>532</v>
      </c>
      <c r="B501">
        <v>23</v>
      </c>
      <c r="C501" t="s">
        <v>12</v>
      </c>
      <c r="D501" s="1">
        <v>45786</v>
      </c>
      <c r="E501" s="1">
        <v>45787</v>
      </c>
      <c r="F501" t="s">
        <v>36</v>
      </c>
      <c r="G501" t="s">
        <v>14</v>
      </c>
      <c r="H501" t="s">
        <v>27</v>
      </c>
      <c r="I501">
        <v>73354</v>
      </c>
      <c r="J501" t="s">
        <v>28</v>
      </c>
      <c r="K501" t="s">
        <v>17</v>
      </c>
      <c r="L501">
        <f>Table1[[#This Row],[Discharge_Date]]-Table1[[#This Row],[Admission_Date]]</f>
        <v>1</v>
      </c>
      <c r="M501" t="str">
        <f>IF(Table1[[#This Row],[Treatment_Cost]]&gt;50000,"High","Standard")</f>
        <v>High</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4740E-9DC1-4011-8B44-5D3664B09E47}">
  <sheetPr codeName="Sheet2"/>
  <dimension ref="F5:G19"/>
  <sheetViews>
    <sheetView workbookViewId="0">
      <selection activeCell="F19" sqref="F19"/>
    </sheetView>
  </sheetViews>
  <sheetFormatPr defaultRowHeight="14.5" x14ac:dyDescent="0.35"/>
  <cols>
    <col min="6" max="6" width="39.453125" bestFit="1" customWidth="1"/>
    <col min="7" max="7" width="10" bestFit="1" customWidth="1"/>
  </cols>
  <sheetData>
    <row r="5" spans="6:7" x14ac:dyDescent="0.35">
      <c r="F5" t="s">
        <v>535</v>
      </c>
      <c r="G5">
        <f>COUNTA(Table1[Patient_ID])</f>
        <v>500</v>
      </c>
    </row>
    <row r="6" spans="6:7" x14ac:dyDescent="0.35">
      <c r="F6" t="s">
        <v>536</v>
      </c>
      <c r="G6">
        <f>SUM(Table1[Treatment_Cost])</f>
        <v>26753894</v>
      </c>
    </row>
    <row r="7" spans="6:7" x14ac:dyDescent="0.35">
      <c r="F7" t="s">
        <v>537</v>
      </c>
      <c r="G7">
        <f>AVERAGE(Table1[Treatment_Cost])</f>
        <v>53507.788</v>
      </c>
    </row>
    <row r="8" spans="6:7" x14ac:dyDescent="0.35">
      <c r="F8" t="s">
        <v>538</v>
      </c>
      <c r="G8">
        <f>COUNTIFS(Table1[Outcome],"Recovered")</f>
        <v>158</v>
      </c>
    </row>
    <row r="9" spans="6:7" x14ac:dyDescent="0.35">
      <c r="F9" t="s">
        <v>539</v>
      </c>
      <c r="G9">
        <f>COUNTIFS(Table1[Outcome],"Recovered")/COUNTA(Table1[Patient_ID])</f>
        <v>0.316</v>
      </c>
    </row>
    <row r="10" spans="6:7" x14ac:dyDescent="0.35">
      <c r="F10" t="s">
        <v>540</v>
      </c>
      <c r="G10">
        <f>COUNTIFS(Table1[Outcome],"Critical")</f>
        <v>179</v>
      </c>
    </row>
    <row r="11" spans="6:7" x14ac:dyDescent="0.35">
      <c r="F11" t="s">
        <v>541</v>
      </c>
      <c r="G11">
        <f>AVERAGE(Table1[LENGTH STAY])</f>
        <v>5.49</v>
      </c>
    </row>
    <row r="12" spans="6:7" x14ac:dyDescent="0.35">
      <c r="F12" t="s">
        <v>542</v>
      </c>
      <c r="G12">
        <f>SUMIFS(Table1[Treatment_Cost],Table1[Department],"Cardiology")</f>
        <v>6155976</v>
      </c>
    </row>
    <row r="13" spans="6:7" x14ac:dyDescent="0.35">
      <c r="F13" t="s">
        <v>543</v>
      </c>
      <c r="G13">
        <f>SUMIFS(Table1[Treatment_Cost],Table1[Payment_Type],"Insurance")</f>
        <v>13772957</v>
      </c>
    </row>
    <row r="14" spans="6:7" x14ac:dyDescent="0.35">
      <c r="F14" t="s">
        <v>544</v>
      </c>
      <c r="G14">
        <f>SUMIFS(Table1[Treatment_Cost],Table1[Payment_Type],"Self")</f>
        <v>12980937</v>
      </c>
    </row>
    <row r="19" spans="6:6" x14ac:dyDescent="0.35">
      <c r="F19">
        <f>SUM(Table1[Treatment_Cost])/
 COUNTA(Table1[Patient_ID])</f>
        <v>53507.788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D94AA-1C54-41F8-9594-8D7A8FBBACB8}">
  <dimension ref="J44"/>
  <sheetViews>
    <sheetView tabSelected="1" topLeftCell="A76" zoomScale="60" zoomScaleNormal="60" workbookViewId="0">
      <selection activeCell="W79" sqref="W79"/>
    </sheetView>
  </sheetViews>
  <sheetFormatPr defaultRowHeight="14.5" x14ac:dyDescent="0.35"/>
  <sheetData>
    <row r="44" spans="10:10" x14ac:dyDescent="0.35">
      <c r="J44" t="s">
        <v>554</v>
      </c>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1</vt:lpstr>
      <vt:lpstr>2</vt:lpstr>
      <vt:lpstr>3</vt:lpstr>
      <vt:lpstr>4</vt:lpstr>
      <vt:lpstr>5</vt:lpstr>
      <vt:lpstr>6</vt:lpstr>
      <vt:lpstr>HEALTH CARE DATA</vt:lpstr>
      <vt:lpstr>KPL'S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vaishnawe billa</cp:lastModifiedBy>
  <dcterms:created xsi:type="dcterms:W3CDTF">2026-02-25T14:59:25Z</dcterms:created>
  <dcterms:modified xsi:type="dcterms:W3CDTF">2026-06-12T14:17:03Z</dcterms:modified>
</cp:coreProperties>
</file>